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6.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7.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8.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9.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Users/natalkafaltyn/Downloads/Projekt-2/"/>
    </mc:Choice>
  </mc:AlternateContent>
  <xr:revisionPtr revIDLastSave="0" documentId="13_ncr:1_{DEABEBAF-5A5E-5642-99FD-71C77A190B10}" xr6:coauthVersionLast="47" xr6:coauthVersionMax="47" xr10:uidLastSave="{00000000-0000-0000-0000-000000000000}"/>
  <bookViews>
    <workbookView xWindow="0" yWindow="500" windowWidth="28800" windowHeight="16340" xr2:uid="{E5CB156A-A4C2-4AB9-8997-3969A3B698DB}"/>
  </bookViews>
  <sheets>
    <sheet name="Strona tytułowa" sheetId="4" r:id="rId1"/>
    <sheet name="Dane" sheetId="1" r:id="rId2"/>
    <sheet name="Aktywa" sheetId="2" r:id="rId3"/>
    <sheet name="Pasywa" sheetId="3" r:id="rId4"/>
    <sheet name="Kapitałowo-majątkowa" sheetId="11" r:id="rId5"/>
    <sheet name="A. W. rachunku zysków i strat" sheetId="8" r:id="rId6"/>
    <sheet name="A. W. przepływów pieniężnych" sheetId="9" r:id="rId7"/>
    <sheet name="Wskaźniki płynności" sheetId="5" r:id="rId8"/>
    <sheet name="Analiza zadłużenia" sheetId="6" r:id="rId9"/>
    <sheet name="Analiza sprawności działania" sheetId="7" r:id="rId10"/>
    <sheet name="Analiza rentowności" sheetId="10" r:id="rId1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6" l="1"/>
  <c r="N10" i="11"/>
  <c r="N25" i="11"/>
  <c r="P10" i="6"/>
  <c r="N5" i="11"/>
  <c r="M17" i="5"/>
  <c r="Q13" i="10"/>
  <c r="Q9" i="10"/>
  <c r="P22" i="6"/>
  <c r="P18" i="6"/>
  <c r="P16" i="6"/>
  <c r="AF11" i="3"/>
  <c r="AF5" i="3"/>
  <c r="AF9" i="3"/>
  <c r="M11" i="5"/>
  <c r="M15" i="5"/>
  <c r="M23" i="5"/>
  <c r="M15" i="7"/>
  <c r="S3" i="7"/>
  <c r="N11" i="7" s="1"/>
  <c r="R3" i="7"/>
  <c r="M11" i="7" s="1"/>
  <c r="S8" i="7"/>
  <c r="N27" i="7" s="1"/>
  <c r="R8" i="7"/>
  <c r="M27" i="7" s="1"/>
  <c r="S7" i="7"/>
  <c r="N21" i="7" s="1"/>
  <c r="R7" i="7"/>
  <c r="M21" i="7" s="1"/>
  <c r="S6" i="7"/>
  <c r="N19" i="7" s="1"/>
  <c r="R6" i="7"/>
  <c r="M19" i="7" s="1"/>
  <c r="S5" i="7"/>
  <c r="N15" i="7" s="1"/>
  <c r="R5" i="7"/>
  <c r="S4" i="7"/>
  <c r="N13" i="7" s="1"/>
  <c r="R4" i="7"/>
  <c r="M13" i="7" s="1"/>
  <c r="M4" i="5"/>
  <c r="P24" i="6"/>
  <c r="Q22" i="6"/>
  <c r="R22" i="6"/>
  <c r="Q20" i="6"/>
  <c r="R20" i="6"/>
  <c r="P20" i="6"/>
  <c r="Q18" i="6"/>
  <c r="R18" i="6"/>
  <c r="Q16" i="6"/>
  <c r="R16" i="6"/>
  <c r="Q14" i="6"/>
  <c r="R14" i="6"/>
  <c r="P14" i="6"/>
  <c r="Q12" i="6"/>
  <c r="R12" i="6"/>
  <c r="P12" i="6"/>
  <c r="R15" i="10"/>
  <c r="S15" i="10"/>
  <c r="Q15" i="10"/>
  <c r="R13" i="10"/>
  <c r="S13" i="10"/>
  <c r="R11" i="10"/>
  <c r="S11" i="10"/>
  <c r="Q11" i="10"/>
  <c r="R9" i="10"/>
  <c r="S9" i="10"/>
  <c r="Q7" i="10"/>
  <c r="Q5" i="10"/>
  <c r="Q24" i="6"/>
  <c r="R24" i="6"/>
  <c r="P6" i="6"/>
  <c r="Q19" i="10"/>
  <c r="H28" i="3"/>
  <c r="F27" i="2"/>
  <c r="G27" i="2"/>
  <c r="H27" i="2"/>
  <c r="F28" i="2"/>
  <c r="G28" i="2"/>
  <c r="H28" i="2"/>
  <c r="F29" i="2"/>
  <c r="G29" i="2"/>
  <c r="H29" i="2"/>
  <c r="Q4" i="2"/>
  <c r="R4" i="2"/>
  <c r="P4" i="2"/>
  <c r="P16" i="2"/>
  <c r="M45" i="8"/>
  <c r="M24" i="5"/>
  <c r="M22" i="5"/>
  <c r="M7" i="5"/>
  <c r="O7" i="5"/>
  <c r="N7" i="5"/>
  <c r="M5" i="5"/>
  <c r="M9" i="5" s="1"/>
  <c r="M10" i="5" l="1"/>
  <c r="N25" i="7"/>
  <c r="M17" i="7"/>
  <c r="M25" i="7"/>
  <c r="M23" i="7"/>
  <c r="M29" i="7" s="1"/>
  <c r="N23" i="7"/>
  <c r="N29" i="7" s="1"/>
  <c r="N17" i="7"/>
  <c r="N20" i="11"/>
  <c r="N15" i="11"/>
  <c r="AG9" i="3"/>
  <c r="AH9" i="3"/>
  <c r="AG15" i="3"/>
  <c r="AH15" i="3"/>
  <c r="AF15" i="3"/>
  <c r="AG13" i="3"/>
  <c r="AH13" i="3"/>
  <c r="AF13" i="3"/>
  <c r="AG11" i="3"/>
  <c r="AH11" i="3"/>
  <c r="AG7" i="3"/>
  <c r="AH7" i="3"/>
  <c r="AF7" i="3"/>
  <c r="AG5" i="3"/>
  <c r="AH5" i="3"/>
  <c r="AA5" i="3"/>
  <c r="AA6" i="3"/>
  <c r="AA7" i="3"/>
  <c r="AA8" i="3"/>
  <c r="AA9" i="3"/>
  <c r="AA10" i="3"/>
  <c r="AA11" i="3"/>
  <c r="AA12" i="3"/>
  <c r="AA13" i="3"/>
  <c r="AA14" i="3"/>
  <c r="AA15" i="3"/>
  <c r="AA16" i="3"/>
  <c r="AA17" i="3"/>
  <c r="AA18" i="3"/>
  <c r="AA19" i="3"/>
  <c r="AA20" i="3"/>
  <c r="AA21" i="3"/>
  <c r="AA22" i="3"/>
  <c r="AA23" i="3"/>
  <c r="AA24" i="3"/>
  <c r="AA25" i="3"/>
  <c r="AA26" i="3"/>
  <c r="AA4" i="3"/>
  <c r="W5" i="3"/>
  <c r="W6" i="3"/>
  <c r="W7" i="3"/>
  <c r="W8" i="3"/>
  <c r="W9" i="3"/>
  <c r="W10" i="3"/>
  <c r="W11" i="3"/>
  <c r="W12" i="3"/>
  <c r="W13" i="3"/>
  <c r="W14" i="3"/>
  <c r="W15" i="3"/>
  <c r="W16" i="3"/>
  <c r="W17" i="3"/>
  <c r="W18" i="3"/>
  <c r="W19" i="3"/>
  <c r="W20" i="3"/>
  <c r="W21" i="3"/>
  <c r="W22" i="3"/>
  <c r="W23" i="3"/>
  <c r="W24" i="3"/>
  <c r="W25" i="3"/>
  <c r="W26" i="3"/>
  <c r="W4" i="3"/>
  <c r="R10" i="6"/>
  <c r="Q10" i="6"/>
  <c r="R8" i="6"/>
  <c r="Q8" i="6"/>
  <c r="P8" i="6"/>
  <c r="R6" i="6"/>
  <c r="Q6" i="6"/>
  <c r="R4" i="6"/>
  <c r="Q4" i="6"/>
  <c r="H95" i="6"/>
  <c r="I95" i="6"/>
  <c r="J95" i="6"/>
  <c r="O20" i="11"/>
  <c r="P20" i="11"/>
  <c r="O10" i="11"/>
  <c r="P10" i="11"/>
  <c r="O5" i="11"/>
  <c r="P5" i="11"/>
  <c r="N19" i="5"/>
  <c r="O19" i="5"/>
  <c r="N18" i="5"/>
  <c r="O18" i="5"/>
  <c r="N17" i="5"/>
  <c r="O17" i="5"/>
  <c r="N24" i="5"/>
  <c r="O24" i="5"/>
  <c r="N23" i="5"/>
  <c r="O23" i="5"/>
  <c r="N22" i="5"/>
  <c r="O22" i="5"/>
  <c r="M19" i="5"/>
  <c r="M18" i="5"/>
  <c r="N15" i="5"/>
  <c r="O15" i="5"/>
  <c r="N5" i="5"/>
  <c r="N11" i="5" s="1"/>
  <c r="O5" i="5"/>
  <c r="O11" i="5" s="1"/>
  <c r="N4" i="5"/>
  <c r="N10" i="5" s="1"/>
  <c r="O4" i="5"/>
  <c r="N46" i="8"/>
  <c r="O46" i="8"/>
  <c r="M46" i="8"/>
  <c r="N45" i="8"/>
  <c r="O45" i="8"/>
  <c r="N40" i="8"/>
  <c r="N38" i="8"/>
  <c r="N39" i="8"/>
  <c r="M40" i="8"/>
  <c r="M39" i="8"/>
  <c r="M38" i="8"/>
  <c r="N34" i="8"/>
  <c r="O34" i="8"/>
  <c r="O33" i="8"/>
  <c r="N33" i="8"/>
  <c r="O32" i="8"/>
  <c r="N32" i="8"/>
  <c r="M34" i="8"/>
  <c r="M33" i="8"/>
  <c r="M32" i="8"/>
  <c r="O35" i="8"/>
  <c r="N35" i="8"/>
  <c r="M35" i="8"/>
  <c r="M22" i="8"/>
  <c r="M19" i="8" s="1"/>
  <c r="O22" i="8"/>
  <c r="O20" i="8" s="1"/>
  <c r="N22" i="8"/>
  <c r="N20" i="8" s="1"/>
  <c r="O8" i="8"/>
  <c r="O6" i="8" s="1"/>
  <c r="N8" i="8"/>
  <c r="N6" i="8" s="1"/>
  <c r="M8" i="8"/>
  <c r="M5" i="8" s="1"/>
  <c r="O9" i="5" l="1"/>
  <c r="N9" i="5"/>
  <c r="O10" i="5"/>
  <c r="P25" i="11"/>
  <c r="P15" i="11"/>
  <c r="O25" i="11"/>
  <c r="O15" i="11"/>
  <c r="O7" i="8"/>
  <c r="N21" i="8"/>
  <c r="M21" i="8"/>
  <c r="O18" i="8"/>
  <c r="M20" i="8"/>
  <c r="M27" i="8" s="1"/>
  <c r="O21" i="8"/>
  <c r="N28" i="8" s="1"/>
  <c r="M11" i="8"/>
  <c r="N27" i="8"/>
  <c r="M7" i="8"/>
  <c r="N7" i="8"/>
  <c r="O5" i="8"/>
  <c r="N18" i="8"/>
  <c r="N5" i="8"/>
  <c r="O19" i="8"/>
  <c r="M6" i="8"/>
  <c r="M12" i="8" s="1"/>
  <c r="N19" i="8"/>
  <c r="M18" i="8"/>
  <c r="N12" i="8"/>
  <c r="N13" i="8"/>
  <c r="M28" i="8" l="1"/>
  <c r="N26" i="8"/>
  <c r="M13" i="8"/>
  <c r="N25" i="8"/>
  <c r="M25" i="8"/>
  <c r="N11" i="8"/>
  <c r="M26" i="8"/>
  <c r="S21" i="10"/>
  <c r="R21" i="10"/>
  <c r="Q21" i="10"/>
  <c r="S19" i="10"/>
  <c r="R19" i="10"/>
  <c r="S17" i="10"/>
  <c r="R17" i="10"/>
  <c r="Q17" i="10"/>
  <c r="S7" i="10"/>
  <c r="R7" i="10"/>
  <c r="S5" i="10"/>
  <c r="R5" i="10"/>
  <c r="J94" i="10"/>
  <c r="I94" i="10"/>
  <c r="H94" i="10"/>
  <c r="I45" i="9"/>
  <c r="J45" i="9"/>
  <c r="H45" i="9"/>
  <c r="R23" i="2"/>
  <c r="Q23" i="2"/>
  <c r="P23" i="2"/>
  <c r="Z26" i="3"/>
  <c r="Y26" i="3"/>
  <c r="V26" i="3"/>
  <c r="U26" i="3"/>
  <c r="L25" i="3"/>
  <c r="J23" i="2"/>
  <c r="P18" i="2"/>
  <c r="R6" i="2"/>
  <c r="R7" i="2"/>
  <c r="R9" i="2"/>
  <c r="R10" i="2"/>
  <c r="R11" i="2"/>
  <c r="R14" i="2"/>
  <c r="R15" i="2"/>
  <c r="R16" i="2"/>
  <c r="R17" i="2"/>
  <c r="R19" i="2"/>
  <c r="R20" i="2"/>
  <c r="R21" i="2"/>
  <c r="Q6" i="2"/>
  <c r="Q7" i="2"/>
  <c r="Q9" i="2"/>
  <c r="Q10" i="2"/>
  <c r="Q11" i="2"/>
  <c r="Q14" i="2"/>
  <c r="Q15" i="2"/>
  <c r="Q16" i="2"/>
  <c r="Q17" i="2"/>
  <c r="Q19" i="2"/>
  <c r="Q20" i="2"/>
  <c r="Q21" i="2"/>
  <c r="R5" i="2"/>
  <c r="Q5" i="2"/>
  <c r="P6" i="2"/>
  <c r="P7" i="2"/>
  <c r="P9" i="2"/>
  <c r="P10" i="2"/>
  <c r="P11" i="2"/>
  <c r="P14" i="2"/>
  <c r="P15" i="2"/>
  <c r="P17" i="2"/>
  <c r="P19" i="2"/>
  <c r="P20" i="2"/>
  <c r="P21" i="2"/>
  <c r="P5" i="2"/>
  <c r="N5" i="2"/>
  <c r="N6" i="2"/>
  <c r="N7" i="2"/>
  <c r="N9" i="2"/>
  <c r="N10" i="2"/>
  <c r="N11" i="2"/>
  <c r="N14" i="2"/>
  <c r="N15" i="2"/>
  <c r="N16" i="2"/>
  <c r="N17" i="2"/>
  <c r="N19" i="2"/>
  <c r="N20" i="2"/>
  <c r="N21" i="2"/>
  <c r="N23" i="2"/>
  <c r="N4" i="2"/>
  <c r="K5" i="2"/>
  <c r="K6" i="2"/>
  <c r="K7" i="2"/>
  <c r="K9" i="2"/>
  <c r="K10" i="2"/>
  <c r="K11" i="2"/>
  <c r="K14" i="2"/>
  <c r="K15" i="2"/>
  <c r="K16" i="2"/>
  <c r="K17" i="2"/>
  <c r="K19" i="2"/>
  <c r="K20" i="2"/>
  <c r="K21" i="2"/>
  <c r="K23" i="2"/>
  <c r="K4" i="2"/>
  <c r="Z5" i="3"/>
  <c r="Z6" i="3"/>
  <c r="Z7" i="3"/>
  <c r="Z8" i="3"/>
  <c r="Z9" i="3"/>
  <c r="Z10" i="3"/>
  <c r="Z11" i="3"/>
  <c r="Z13" i="3"/>
  <c r="Z14" i="3"/>
  <c r="Z15" i="3"/>
  <c r="Z16" i="3"/>
  <c r="Z17" i="3"/>
  <c r="Z19" i="3"/>
  <c r="Z20" i="3"/>
  <c r="Z21" i="3"/>
  <c r="Z22" i="3"/>
  <c r="Z23" i="3"/>
  <c r="Z25" i="3"/>
  <c r="Z4" i="3"/>
  <c r="Y5" i="3"/>
  <c r="Y6" i="3"/>
  <c r="Y7" i="3"/>
  <c r="Y8" i="3"/>
  <c r="Y9" i="3"/>
  <c r="Y10" i="3"/>
  <c r="Y11" i="3"/>
  <c r="Y13" i="3"/>
  <c r="Y14" i="3"/>
  <c r="Y15" i="3"/>
  <c r="Y16" i="3"/>
  <c r="Y17" i="3"/>
  <c r="Y19" i="3"/>
  <c r="Y20" i="3"/>
  <c r="Y21" i="3"/>
  <c r="Y22" i="3"/>
  <c r="Y23" i="3"/>
  <c r="Y25" i="3"/>
  <c r="Y4" i="3"/>
  <c r="V5" i="3"/>
  <c r="V6" i="3"/>
  <c r="V7" i="3"/>
  <c r="V8" i="3"/>
  <c r="V9" i="3"/>
  <c r="V10" i="3"/>
  <c r="V11" i="3"/>
  <c r="V12" i="3"/>
  <c r="V13" i="3"/>
  <c r="V14" i="3"/>
  <c r="V15" i="3"/>
  <c r="V16" i="3"/>
  <c r="V17" i="3"/>
  <c r="V18" i="3"/>
  <c r="V19" i="3"/>
  <c r="V20" i="3"/>
  <c r="V21" i="3"/>
  <c r="V22" i="3"/>
  <c r="V23" i="3"/>
  <c r="V25" i="3"/>
  <c r="V4" i="3"/>
  <c r="U5" i="3"/>
  <c r="U6" i="3"/>
  <c r="U7" i="3"/>
  <c r="U8" i="3"/>
  <c r="U9" i="3"/>
  <c r="U10" i="3"/>
  <c r="U11" i="3"/>
  <c r="U12" i="3"/>
  <c r="U13" i="3"/>
  <c r="U14" i="3"/>
  <c r="U15" i="3"/>
  <c r="U16" i="3"/>
  <c r="U17" i="3"/>
  <c r="U18" i="3"/>
  <c r="U19" i="3"/>
  <c r="U20" i="3"/>
  <c r="U21" i="3"/>
  <c r="U22" i="3"/>
  <c r="U23" i="3"/>
  <c r="U25" i="3"/>
  <c r="U4" i="3"/>
  <c r="I30" i="3"/>
  <c r="J30" i="3"/>
  <c r="H30" i="3"/>
  <c r="I29" i="3"/>
  <c r="J29" i="3"/>
  <c r="H29" i="3"/>
  <c r="I28" i="3"/>
  <c r="J28" i="3"/>
  <c r="R10" i="3"/>
  <c r="R11" i="3"/>
  <c r="R12" i="3"/>
  <c r="R13" i="3"/>
  <c r="R14" i="3"/>
  <c r="R15" i="3"/>
  <c r="R16" i="3"/>
  <c r="R17" i="3"/>
  <c r="R18" i="3"/>
  <c r="R19" i="3"/>
  <c r="R20" i="3"/>
  <c r="R21" i="3"/>
  <c r="R22" i="3"/>
  <c r="R23" i="3"/>
  <c r="R24" i="3"/>
  <c r="R9" i="3"/>
  <c r="Q10" i="3"/>
  <c r="Q11" i="3"/>
  <c r="Q12" i="3"/>
  <c r="Q13" i="3"/>
  <c r="Q14" i="3"/>
  <c r="Q15" i="3"/>
  <c r="Q16" i="3"/>
  <c r="Q17" i="3"/>
  <c r="Q18" i="3"/>
  <c r="Q19" i="3"/>
  <c r="Q20" i="3"/>
  <c r="Q21" i="3"/>
  <c r="Q22" i="3"/>
  <c r="Q23" i="3"/>
  <c r="Q24" i="3"/>
  <c r="Q9" i="3"/>
  <c r="P10" i="3"/>
  <c r="P11" i="3"/>
  <c r="P12" i="3"/>
  <c r="P13" i="3"/>
  <c r="P14" i="3"/>
  <c r="P15" i="3"/>
  <c r="P16" i="3"/>
  <c r="P17" i="3"/>
  <c r="P18" i="3"/>
  <c r="P19" i="3"/>
  <c r="P20" i="3"/>
  <c r="P21" i="3"/>
  <c r="P22" i="3"/>
  <c r="P23" i="3"/>
  <c r="P24" i="3"/>
  <c r="P9" i="3"/>
  <c r="N5" i="3"/>
  <c r="N6" i="3"/>
  <c r="N7" i="3"/>
  <c r="N8" i="3"/>
  <c r="N9" i="3"/>
  <c r="N10" i="3"/>
  <c r="N11" i="3"/>
  <c r="N12" i="3"/>
  <c r="N13" i="3"/>
  <c r="N14" i="3"/>
  <c r="N15" i="3"/>
  <c r="N16" i="3"/>
  <c r="N17" i="3"/>
  <c r="N18" i="3"/>
  <c r="N19" i="3"/>
  <c r="N20" i="3"/>
  <c r="N21" i="3"/>
  <c r="N22" i="3"/>
  <c r="N23" i="3"/>
  <c r="N24" i="3"/>
  <c r="N25" i="3"/>
  <c r="N4" i="3"/>
  <c r="M5" i="3"/>
  <c r="M6" i="3"/>
  <c r="M7" i="3"/>
  <c r="M8" i="3"/>
  <c r="M9" i="3"/>
  <c r="M10" i="3"/>
  <c r="M11" i="3"/>
  <c r="M12" i="3"/>
  <c r="M13" i="3"/>
  <c r="M14" i="3"/>
  <c r="M15" i="3"/>
  <c r="M16" i="3"/>
  <c r="M17" i="3"/>
  <c r="M18" i="3"/>
  <c r="M19" i="3"/>
  <c r="M20" i="3"/>
  <c r="M21" i="3"/>
  <c r="M22" i="3"/>
  <c r="M23" i="3"/>
  <c r="M24" i="3"/>
  <c r="M25" i="3"/>
  <c r="M4" i="3"/>
  <c r="R6" i="3"/>
  <c r="R7" i="3"/>
  <c r="R8" i="3"/>
  <c r="R5" i="3"/>
  <c r="Q6" i="3"/>
  <c r="Q7" i="3"/>
  <c r="Q8" i="3"/>
  <c r="Q5" i="3"/>
  <c r="P6" i="3"/>
  <c r="P7" i="3"/>
  <c r="P8" i="3"/>
  <c r="P5" i="3"/>
  <c r="L6" i="3"/>
  <c r="L7" i="3"/>
  <c r="L8" i="3"/>
  <c r="L9" i="3"/>
  <c r="L10" i="3"/>
  <c r="L11" i="3"/>
  <c r="L12" i="3"/>
  <c r="L13" i="3"/>
  <c r="L14" i="3"/>
  <c r="L15" i="3"/>
  <c r="L16" i="3"/>
  <c r="L17" i="3"/>
  <c r="L18" i="3"/>
  <c r="L19" i="3"/>
  <c r="L20" i="3"/>
  <c r="L21" i="3"/>
  <c r="L22" i="3"/>
  <c r="L23" i="3"/>
  <c r="L24" i="3"/>
  <c r="L5" i="3"/>
  <c r="L4" i="3"/>
  <c r="M5" i="2"/>
  <c r="M6" i="2"/>
  <c r="M7" i="2"/>
  <c r="M9" i="2"/>
  <c r="M10" i="2"/>
  <c r="M11" i="2"/>
  <c r="M14" i="2"/>
  <c r="M15" i="2"/>
  <c r="M16" i="2"/>
  <c r="M17" i="2"/>
  <c r="M19" i="2"/>
  <c r="M20" i="2"/>
  <c r="M21" i="2"/>
  <c r="M23" i="2"/>
  <c r="M4" i="2"/>
  <c r="J5" i="2"/>
  <c r="J6" i="2"/>
  <c r="J7" i="2"/>
  <c r="J9" i="2"/>
  <c r="J10" i="2"/>
  <c r="J11" i="2"/>
  <c r="J14" i="2"/>
  <c r="J15" i="2"/>
  <c r="J16" i="2"/>
  <c r="J17" i="2"/>
  <c r="J19" i="2"/>
  <c r="J20" i="2"/>
  <c r="J21" i="2"/>
  <c r="J4" i="2"/>
</calcChain>
</file>

<file path=xl/sharedStrings.xml><?xml version="1.0" encoding="utf-8"?>
<sst xmlns="http://schemas.openxmlformats.org/spreadsheetml/2006/main" count="949" uniqueCount="323">
  <si>
    <t xml:space="preserve">MAKARONY POLSKIE SPÓŁKA AKCYJNA (MAK) </t>
  </si>
  <si>
    <t>Spółka Makarony Polskie SA jest podmiotem dominującym grupy kapitałowej działającej</t>
  </si>
  <si>
    <t xml:space="preserve">na szeroko rozumianym rynku spożywczym. Przedmiotem działalności Grupy Makarony </t>
  </si>
  <si>
    <t xml:space="preserve">Polskie jest głównie produkcja makaronów oraz przetworów mięsno-warzywnych (w tym </t>
  </si>
  <si>
    <t>dań gotowych) i warzywno-owocowych. Podstawowym miejscem prowadzenia działalności</t>
  </si>
  <si>
    <t>gospodarczej przez Grupę jest Polska.</t>
  </si>
  <si>
    <t>Natalia Faltyn</t>
  </si>
  <si>
    <t>Dane wykorzystane do przeprowadzenia analizy finansowej spółki Makarony Polskie SA, w tys. zł</t>
  </si>
  <si>
    <t>Podsumowanie wniosków z analizy finansowej</t>
  </si>
  <si>
    <t>AKTYWA</t>
  </si>
  <si>
    <t>AKTYWA TRWAŁE</t>
  </si>
  <si>
    <t xml:space="preserve">Rzeczowe aktywa trwałe </t>
  </si>
  <si>
    <t xml:space="preserve">Aktywa trwałe – MSSF-16 </t>
  </si>
  <si>
    <t xml:space="preserve">Nieruchomości inwestycyjne </t>
  </si>
  <si>
    <t xml:space="preserve">Wartość firmy </t>
  </si>
  <si>
    <t xml:space="preserve">Inne wartości niematerialne </t>
  </si>
  <si>
    <t>Długoterminowe aktywa finansowe w tym:</t>
  </si>
  <si>
    <t xml:space="preserve">Udziały </t>
  </si>
  <si>
    <t xml:space="preserve">Udzielone pożyczki </t>
  </si>
  <si>
    <t>Aktywa z tytułu odroczonego podatku dochodowego</t>
  </si>
  <si>
    <t xml:space="preserve">Pozostałe aktywa- długoterminowe </t>
  </si>
  <si>
    <t>AKTYWA OBROTOWE</t>
  </si>
  <si>
    <t>Zapasy</t>
  </si>
  <si>
    <t xml:space="preserve">Należności krótkoterminowe </t>
  </si>
  <si>
    <t>Należności z tytułu podatku dochodowego</t>
  </si>
  <si>
    <t xml:space="preserve">Środki pieniężne i ich ekwiwalenty </t>
  </si>
  <si>
    <t xml:space="preserve">Pozostałe aktywa- krótkoterminowe </t>
  </si>
  <si>
    <t>AKTYWA TRWAŁE PRZEZNACZONE DO ZBYCIA</t>
  </si>
  <si>
    <t xml:space="preserve">SUMA AKTYWÓW </t>
  </si>
  <si>
    <t>PASYWA</t>
  </si>
  <si>
    <t xml:space="preserve">KAPITAŁ WŁASNY </t>
  </si>
  <si>
    <t xml:space="preserve">Kapitał podstawowy </t>
  </si>
  <si>
    <t xml:space="preserve">Kapitał zapasowy </t>
  </si>
  <si>
    <t>Kapitał rezerwowy</t>
  </si>
  <si>
    <t>Zyski/straty zatrzymane (zysk/strata z lat ubiegłych)</t>
  </si>
  <si>
    <t>ZOBOWIĄZANIA DŁUGOTERMINOWE</t>
  </si>
  <si>
    <t>Rezerwa z tytułu odroczonego podatku dochodowego</t>
  </si>
  <si>
    <t>Długoterminowe kredyty bankowe i pożyczki</t>
  </si>
  <si>
    <t xml:space="preserve">Pozostałe długoterminowe zobowiązanie finansowe </t>
  </si>
  <si>
    <t>Rezerwa na świadczenia emerytalne i podobne (długoterminowe)</t>
  </si>
  <si>
    <t>Przychody przyszłych okresów (długoterminowe)</t>
  </si>
  <si>
    <t>Długoterminowe zobowiązania finansowe- leasing</t>
  </si>
  <si>
    <t xml:space="preserve">ZOBOWIĄZANIA KRÓTKOTERMINOWE </t>
  </si>
  <si>
    <t>Krótkoterminowe kredyty bankowe i pożyczki</t>
  </si>
  <si>
    <t xml:space="preserve">Pozostałe krótkoterminowe zobowiązanie finansowe </t>
  </si>
  <si>
    <t>Krótkoterminowe zobowiązania finansowe - leasing</t>
  </si>
  <si>
    <t xml:space="preserve">Pozostałe zobowiązania krótkoterminowe </t>
  </si>
  <si>
    <t>Zobowiązania z tyt. podatku dochodowego</t>
  </si>
  <si>
    <t>Przychody przyszłych okresów (krótkoterminowe)</t>
  </si>
  <si>
    <t>Rezerwa na świadczenia emerytalne i podobne (krótkoterminowe)</t>
  </si>
  <si>
    <t xml:space="preserve">Pozostałe rezerwy (krótkoterminowe) </t>
  </si>
  <si>
    <t xml:space="preserve">ZOBOWIĄZANIA OGÓŁEM </t>
  </si>
  <si>
    <t xml:space="preserve">SUMA PASYWÓW </t>
  </si>
  <si>
    <t>SPRAWOZDANIE Z PRZEPŁYWÓW PIENIĘŻNYCH</t>
  </si>
  <si>
    <t>Przepływy środków pieniężnych z działalności operacyjnej</t>
  </si>
  <si>
    <t>Zysk przed opodatkowaniem</t>
  </si>
  <si>
    <t>Korekty o pozycje:</t>
  </si>
  <si>
    <t>Amortyzacja</t>
  </si>
  <si>
    <t xml:space="preserve">Zyski/ straty z tytułu różnic kursowych </t>
  </si>
  <si>
    <t xml:space="preserve">Koszty i przychody z tytułu odsetek </t>
  </si>
  <si>
    <t xml:space="preserve">Zysk/ strata z tytułu działalności inwestycyjnej </t>
  </si>
  <si>
    <t>Zmiana stanu rezerw</t>
  </si>
  <si>
    <t xml:space="preserve">Zmiana stanu zapasów </t>
  </si>
  <si>
    <t xml:space="preserve">Zmiana stanu należności </t>
  </si>
  <si>
    <t>Zmiana stanu zobowiązań oraz pozostałych aktywów i pasywów</t>
  </si>
  <si>
    <t>Inne korekty</t>
  </si>
  <si>
    <t>Razem korekty</t>
  </si>
  <si>
    <t xml:space="preserve">Przychody z tytułu dywidend </t>
  </si>
  <si>
    <t>Zapłacony/ zwrócony podatek dochodowy od osób prawnych</t>
  </si>
  <si>
    <t xml:space="preserve">Przepływy środków pieniężnych netto z działalności operacyjnej </t>
  </si>
  <si>
    <t>Przepływy środków pieniężnych z działalności inwestycyjnej</t>
  </si>
  <si>
    <t xml:space="preserve">Wpływy ze sprzedaży rzeczowych aktywów trwałych i wartości niematerialnych </t>
  </si>
  <si>
    <t xml:space="preserve">Wpływy ze sprzedaży aktywów finansowych </t>
  </si>
  <si>
    <t xml:space="preserve">Wydatki na nabycie rzeczowych aktywów trwałych i wartości niematerialnych </t>
  </si>
  <si>
    <t>Wydatki na nabycie podmiotów zależnych i  stowarzyszonych</t>
  </si>
  <si>
    <t xml:space="preserve">Wpływy z tytułu odsetek </t>
  </si>
  <si>
    <t xml:space="preserve">Wpływy z tytułu udzielonych pożyczek </t>
  </si>
  <si>
    <t>Inne</t>
  </si>
  <si>
    <t>Przepływy środków pieniężnych netto z działalności inwestycyjnej</t>
  </si>
  <si>
    <t>Przepływy środków pieniężnych z działalności finansowej</t>
  </si>
  <si>
    <t xml:space="preserve">Wpływy z kredytów i pożyczek </t>
  </si>
  <si>
    <t xml:space="preserve">Wpływy uzyskane z emisji dłużnych papierów wartościowych </t>
  </si>
  <si>
    <t xml:space="preserve">Spłata kredytów i pożyczek </t>
  </si>
  <si>
    <t>Płatności zobowiązań z tytułu umów leasingu finansowego</t>
  </si>
  <si>
    <t xml:space="preserve">Zapłacone odsetki </t>
  </si>
  <si>
    <t xml:space="preserve">Płatność pozostałych zobowiązań finansowych </t>
  </si>
  <si>
    <t xml:space="preserve">Dywidenda wypłacona akcjonariuszom </t>
  </si>
  <si>
    <t xml:space="preserve">Wydatki na nabycie aktywów finansowych </t>
  </si>
  <si>
    <t xml:space="preserve">Inne wpływy finansowe </t>
  </si>
  <si>
    <t xml:space="preserve">Przepływy środków pieniężnych netto z działalności finansowej </t>
  </si>
  <si>
    <t xml:space="preserve">Zwiększenie/ zmniejszenie stanu środków pieniężnych i ekwiwalentów środków pieniężnych </t>
  </si>
  <si>
    <t>Środki pieniężne, ekwiwalenty środków pieniężnych oraz kredyty w rachunku bieżącym na początek okresu</t>
  </si>
  <si>
    <t xml:space="preserve">Zyski/straty z tytułu różnic kursowych dotyczące wyceny środków pieniężnych, ekwiwalentów środków pieniężnych oraz kredytów w rachunku bieżącym </t>
  </si>
  <si>
    <t xml:space="preserve">Środki pieniężne, ekwiwalenty środków pieniężnych oraz kredyty w rachunku bieżącym na koniec okresu </t>
  </si>
  <si>
    <t>RACHUNEK ZYSKÓW I STRAT</t>
  </si>
  <si>
    <t>I. Przychody netto ze sprzedaży produktów, towarów i materiałów, w tym:</t>
  </si>
  <si>
    <t>od jednostek powiązanych</t>
  </si>
  <si>
    <t>1.Przychody netto ze sprzedaży produktów</t>
  </si>
  <si>
    <t>2.Przychody netto ze sprzedaży towarów i materiałów</t>
  </si>
  <si>
    <t>II.Koszty sprzedanych produktów, towarów i materiałów, w tym:</t>
  </si>
  <si>
    <t>jednostkom powiązanym</t>
  </si>
  <si>
    <t>1.Koszt wytworzenia sprzedanych produktów</t>
  </si>
  <si>
    <t>2.Wartość sprzedanych towarów i materiałów</t>
  </si>
  <si>
    <t>III.Zysk(strata) brutto ze sprzedaży</t>
  </si>
  <si>
    <t>Koszty sprzedaży</t>
  </si>
  <si>
    <t>Koszty ogólnego zarządu</t>
  </si>
  <si>
    <t>Zysk(strata) ze sprzedaży</t>
  </si>
  <si>
    <t>Pozostałe przychodzy operacjne</t>
  </si>
  <si>
    <t>IV.Zysk(strata) z działalności kontynuowanej</t>
  </si>
  <si>
    <t>1. Przychody finansowe</t>
  </si>
  <si>
    <t>2.Koszty finansowe</t>
  </si>
  <si>
    <t>V. Zysk brutto</t>
  </si>
  <si>
    <t>1.Podatek dochodowy</t>
  </si>
  <si>
    <t>VI. Zysk(strata) netto z działalności kontunuowanej,</t>
  </si>
  <si>
    <t>w tym przypadający na:</t>
  </si>
  <si>
    <t>1.Akcjonariuszy jednostki dominującej</t>
  </si>
  <si>
    <t>2.Udziały niekontrolujące</t>
  </si>
  <si>
    <t>3.Podstawowy wynik netto przypadający na jedną akcję w złotych</t>
  </si>
  <si>
    <t>4.Rozwodniony wynik netto przypadający na jedną akcję w złotych</t>
  </si>
  <si>
    <t>5.Inne całkowite dochody/straty netto</t>
  </si>
  <si>
    <t>VII.Całkowite dochody netto ogółem, w tym przypadające na:</t>
  </si>
  <si>
    <t>Średnia ważona liczba akcji zwykłych (w szt.)</t>
  </si>
  <si>
    <t>Zysk (strata) na jedną akcję zwykłą (w zł.)</t>
  </si>
  <si>
    <t>Rozwodniony zysk (strata) na jedną akcję zwykłą (w zł.)</t>
  </si>
  <si>
    <t>Struktura aktywów</t>
  </si>
  <si>
    <t>Wskaźnik dynamiki aktywów ogółem</t>
  </si>
  <si>
    <t>Wskaźniki struktury aktywów</t>
  </si>
  <si>
    <t>2021/2020</t>
  </si>
  <si>
    <t>tempo zmian</t>
  </si>
  <si>
    <t>2020/2019</t>
  </si>
  <si>
    <t>Z aktywów obrotowych największym udziałem odznaczają się należności krótkoterminowe (na przestrzeni trzech analizowanych lat) oraz środki pieniężne i ich ekwiwalenty w roku 2021. Aktywa obrotowe wykazały spory wzrost na przełomie 2020/2021- wyniósł aż 64%- stało się tak za sprawą znaczącego wzrostu udziału środków pieniężnych i ich ekwiwalentów o 6884%.</t>
  </si>
  <si>
    <t>wsk. udziału aktywów trwałych</t>
  </si>
  <si>
    <t>wsk. udziału aktywów obrotowych</t>
  </si>
  <si>
    <t>wsk. unieruchomienia majątku</t>
  </si>
  <si>
    <t>wskaźniki struktury pasywów</t>
  </si>
  <si>
    <t>w stosunku do całego kapitału własnego</t>
  </si>
  <si>
    <t>dynamika</t>
  </si>
  <si>
    <t>odchylenie bezwzględne</t>
  </si>
  <si>
    <t>Nazwa Wskaźnika</t>
  </si>
  <si>
    <t>Stopień wyposażenia przedsiębiorstwa w kapitał własny</t>
  </si>
  <si>
    <t>Z roku na rok rośnie stopień wyposażenia przedsiębiorstwa w kapitał własny, świdaczy to o umocnieniu pozycji finansowej.</t>
  </si>
  <si>
    <t>Stopień obciążenia przedsiębiorstwa zobowiązaniami</t>
  </si>
  <si>
    <t>Zobowiązania firmy powoli maleją, oznacza to że firma będzie mogła mniej wydać aby je uregulować.</t>
  </si>
  <si>
    <t>Stopień wyposażenia przedsiębiorstwa w kapitał stały</t>
  </si>
  <si>
    <t>Stopień wyposażenia przedsiębiorstwa w kapitał własny, zobowiązania długoterminowe oraz podatek z roku na rok wzrasta. Należy natomiast pamiętać, że większą część kapitału stałego składa się z kapitału własnego.</t>
  </si>
  <si>
    <t>Udział rezerw w pasywach ogółem</t>
  </si>
  <si>
    <t>Procent udziału rezerw w pasywach maleje, jest to dobry znak dla firmy, ponieważ jak w przypadku stopnia obciążenia przedsiębiorstwa zobowiązaniami, firma będzie mogła mniej wydać aby je uregulować.</t>
  </si>
  <si>
    <t>Udział zobowiązań długoterminowych w pasywach ogółem</t>
  </si>
  <si>
    <t>Na przestrzeni badanych lat w firmie jest nierównomierny udział zobowiązań długoterminowych w pasywach ogółem. Poziom utrzymuje się pomiędzy 21% a 23%.</t>
  </si>
  <si>
    <t>Udział zobowiązań krótkoterminowych w pasywach ogółem</t>
  </si>
  <si>
    <t>Udział zobowiązań krótkoterminowych maleje z ponad 26% na niecałe 24%. Wskaźnik ten przedstawia zawężone ujęcie skali zaangażowania zobowiązań krótkoterminowych w celu finansowania działalności bieżącej.</t>
  </si>
  <si>
    <t>w stosunku do całych zobowiązań</t>
  </si>
  <si>
    <t>Wskaźnik stopnia samofinansowania</t>
  </si>
  <si>
    <t>W pasywach największy udział ma kapitał własny, ponad 50% w każdym badanym roku. Można zauważyć wzrost udziału kapitału własnego na przestrzeni badanych lat, natomiast widoczny jest spadek sumy zobowiązań, do których należy zobowiązania ktrótkoterminowe i długoterminowe. Początkowo w zobowiązaniach długoterminowych zauważamy spadek, lecz końcowo udziały w 2021 roku przewyższały te w 2019 roku. W zobowiązaniach krótkoterminowych był lekki wzrost udziałów, lecz w 2021 roku spadł o około 2,5%.</t>
  </si>
  <si>
    <t>Wskaźnik przekładni kapitałowej</t>
  </si>
  <si>
    <t>Złota reguła finansowania</t>
  </si>
  <si>
    <t>Z roku 2020 na 2021 dynamika wynosiła ponad 100%, dokładnie 117,19% co oznacza, że zasoby kapitałowe zostały zwiększone w porównaniu z poprzednim rokiem. Podobnie z roku 2019 na 2020 natomiast wzrost już nie był aż taki duży, dynamika wynosiła 102,72%. Świadczy to o tym, że przedsiębiorstwo zwiększyło swoje zasoby kapitałowe w porównianiu z okresem bazowym.</t>
  </si>
  <si>
    <t>Bilans</t>
  </si>
  <si>
    <r>
      <t>Wskaźnik pokrycia aktywów stałych kapitałem własnym</t>
    </r>
    <r>
      <rPr>
        <sz val="12"/>
        <color rgb="FF000000"/>
        <rFont val="Times New Roman"/>
        <family val="1"/>
        <charset val="1"/>
      </rPr>
      <t> </t>
    </r>
  </si>
  <si>
    <t>Wskaźnik przyjmuje wartości poniżej 100%, co oznacza, że część majątku jest finansowana przez kapitał obcy. Może to być informacja o niekorzystnej sytuacji finansowej firmy.  Nie przesądza to jednak o poziomie skuteczności i efektywności zarządzania.</t>
  </si>
  <si>
    <t>Kapitał stały</t>
  </si>
  <si>
    <t> </t>
  </si>
  <si>
    <t>Srebrna reguła bilansowa</t>
  </si>
  <si>
    <r>
      <t>Wskaźnik pokrycia aktywów trwałych kapitałem stałym</t>
    </r>
    <r>
      <rPr>
        <sz val="11"/>
        <color rgb="FF000000"/>
        <rFont val="Times New Roman"/>
        <family val="1"/>
        <charset val="1"/>
      </rPr>
      <t> </t>
    </r>
  </si>
  <si>
    <t>Wartość wskaźnika w badanych latach nie spada poniżej 100%, co oznacza, że aktywa trwałe są finansowane kapitałem długoterminowym (takim, który jest do dyspozycji przedsiębiorstwa przez ponad rok). Zachowana jest płynność jednostki, jednakże im wyższa wartość omawianego wskaźnika, tym lepiej rokuje przyszlość jednostki.</t>
  </si>
  <si>
    <r>
      <t>Wskaźnik pokrycia aktywów obrotowych zobowiązaniami krótkoterminowymi</t>
    </r>
    <r>
      <rPr>
        <sz val="12"/>
        <color rgb="FF000000"/>
        <rFont val="Times New Roman"/>
        <family val="1"/>
        <charset val="1"/>
      </rPr>
      <t> </t>
    </r>
  </si>
  <si>
    <t>Kapitał krótkoterminowy nie pokrywa w pełni majątku obrotowego w 2021 roku. W latach poprzednich zachowana jest złota reguła bilansowa w stosunku do obrotowych składników majątku.</t>
  </si>
  <si>
    <t>Kapitał obrotowy netto (KON)</t>
  </si>
  <si>
    <t>Kapitał obrotowy netto &gt; 0</t>
  </si>
  <si>
    <t>Aktywa</t>
  </si>
  <si>
    <t>Pasywa</t>
  </si>
  <si>
    <t>Aktywa trwałe</t>
  </si>
  <si>
    <t>Aktywa obrotowe</t>
  </si>
  <si>
    <t>Kapitał obrotowy netto</t>
  </si>
  <si>
    <t>Zobowiązania krótkoterminowe</t>
  </si>
  <si>
    <t>Kapitał obrotowy netto jest dodatni, co wskazuje na strategię konserwatywną. Charakteryzuje się ona wysoką płynnością finansową, wysokim poziomem kapitału obrotowego netto, a także dużym udziałem kapitału stałego w finansowaniu aktywów obrotowych. Zapewnia to dużą stabilność płatniczą, niższy poziom ryzyka, a także niski udział kredytów krótkoterminowych w finansowaniu zapotrzebowania na kapitał obrotowy netto.</t>
  </si>
  <si>
    <t>Struktura i dynamika przychodów</t>
  </si>
  <si>
    <t>Największy udział mają przychody ze sprzedaży produktów, towarów i materiałów- w każdym badanym roku jest to równowartość niemalże 100% przychodów ogółem. Zauważalna jest także niewielka tendencja spadkowa. Wzrasta natomiast udział pozostałych przychodów operacyjnych. Tu zauważalny jest wzrost. Przychody finansowe mają najmniejszy udział w przychodach ogółem, jednakże on również wzrasta.</t>
  </si>
  <si>
    <t>Przychody netto ze sprzedaży produktów, towarów i materiałów</t>
  </si>
  <si>
    <t>Pozostałe przychody operacyjne</t>
  </si>
  <si>
    <t>Przychody finansowe</t>
  </si>
  <si>
    <t>suma przychodów</t>
  </si>
  <si>
    <t>Przychody netto ze sprzedaży</t>
  </si>
  <si>
    <t>Struktura i dynamika kosztów</t>
  </si>
  <si>
    <t>Koszty sprzedanych produktów, towarów i materiałów</t>
  </si>
  <si>
    <t>Ponad 80% kosztów stanowią koszty sprzedanych produktów, towarów i mateiałów w każdym z analizowanych okresów. Drugim największym kosztem są koszty sprzedaży (od 12,64% do 13,93%), trzecim natomiast koszty ogólnego zarządu. Koszty finansowe stanowią niewielki odsetek ogółu kosztów, odnotowały wzrost w 2020 roku, by w kolejnym odnotować znaczący spadek. W przypadku wszystkich analizowanych kosztów nie ma możliwości zauważenia tendencji wzrostowej lub spadkowej.</t>
  </si>
  <si>
    <t>Koszty finansowe</t>
  </si>
  <si>
    <t>suma kosztów</t>
  </si>
  <si>
    <t>Koszty sprz.prod.tow.</t>
  </si>
  <si>
    <t>Struktura i dynamika zysków (strat)</t>
  </si>
  <si>
    <t>Zysk brutto ze sprzedaży</t>
  </si>
  <si>
    <t>Największy udział w zysku ogółem ma zysk ze sprzedaży- w 2021 roku 69%, w 2020 roku 65% i w 2019 roku 69%. Zysk z działalności kontynuowanej i zysk brutto przyjmują wartości z zakresu 15%-19%. W przypadku zysku ze sprzedaży możemy zauważyć początkowo spadek, a później wzrost, natomiast udziały zysku z działalności kontynuowanej i zysku brutto początkowo rosły, by później spaść.</t>
  </si>
  <si>
    <t>Zysk z działalności kontynuowanej</t>
  </si>
  <si>
    <t>Zysk brutto</t>
  </si>
  <si>
    <t>suma zysków</t>
  </si>
  <si>
    <t>Analiza udziału kosztu do przychodów</t>
  </si>
  <si>
    <t xml:space="preserve"> Koszty sprzedanych produktów, towarów i materiałów są w każdym badanych okresie mniejsze od przychodów z tego samego tytułu (ok. 20%). Koszty finansowe znacznie przewyższyły przychody finansowe w 2019 i 2020 roku. W 2021 natomiast przychody finansowe nieznacznie je przewyższyły.</t>
  </si>
  <si>
    <t>Przepływy pieniężne netto, razem</t>
  </si>
  <si>
    <t>Rok</t>
  </si>
  <si>
    <t>Warianty przepływów</t>
  </si>
  <si>
    <t>Działalność operacyjna</t>
  </si>
  <si>
    <t>Działalność inwestycyjna</t>
  </si>
  <si>
    <t>Działalność finansowa</t>
  </si>
  <si>
    <t>III</t>
  </si>
  <si>
    <t>+</t>
  </si>
  <si>
    <t>-</t>
  </si>
  <si>
    <t>IV</t>
  </si>
  <si>
    <t>Warianty sytuacji</t>
  </si>
  <si>
    <t>Wynik finansowy netto</t>
  </si>
  <si>
    <t>Przepływy pieniężne netto</t>
  </si>
  <si>
    <t>Dodatni wynik finansowey netto oznacza osiągnięcie przez przedsiębiorstwo zysku. Natomiast omawiając przepływy pieniężne w poszczególnych latach to w 2019 oraz 2021 roku dodatnie wpływy z działalności operacyjnej oraz finansowej przedsiębiorstwo przeznacza na wydatki inwestycyjne, co sprzyja jego rozwojowi. W 2020 roku jednostka generuje wpływy ze sprzedaży, które przeznacza na inwestycje w aktywa trwałe, ale jednocześnie ponosi wydatki w ramach działalności finansowej.</t>
  </si>
  <si>
    <t>I</t>
  </si>
  <si>
    <t>II</t>
  </si>
  <si>
    <t>Statyczne wskaźniki płynności</t>
  </si>
  <si>
    <t>Inwestycje krótkoterminowe</t>
  </si>
  <si>
    <t>Wskaźnik bieżącej płynności przyjmuje prawidłową wartość jedynie w 2021 roku. W latach poprzednich jego wartość wskazywała na możliwość wystąpienia problemów ze spłatą zobowiązań. Kierownictwo przedsiębiorstwa najwyrażniej podjęło stosowne kroki i zapewniło zwiększenie zasobów potrzebnych do uregulowania bieżących zobowiązań.</t>
  </si>
  <si>
    <t>Wskaźnik bieżącej płynności</t>
  </si>
  <si>
    <t>Wskaźnik szybki płynności</t>
  </si>
  <si>
    <t>Tylko w 2021 roku wskaźnik przyjął prawidłową wartość. W poprzednich latach zdolność płatnicza była zagrożona, szczególnie w roku 2020. Jego wartości w latach 2019 i 2020 były także znacząco odbiegające od jego średniej dla danego sektora.</t>
  </si>
  <si>
    <t>Wskaźnik środków pieniężnych</t>
  </si>
  <si>
    <t xml:space="preserve">W tym przypadku również prawidłowa wartość wystąpiła jedynie w 2021 roku. </t>
  </si>
  <si>
    <t>Dynamiczne wskaźniki płynności</t>
  </si>
  <si>
    <t xml:space="preserve">Pożądana wartość wskaźnika oscyluje w o okolicach 1. W analizowanej jednostce jego wartość jest znacznie niższa niż jego prawidłowa wartość. Występuje znaczące zagrożenie płynności finansowej we wszystkich analizowanych latach. </t>
  </si>
  <si>
    <t>Wskaźnik wystarczalności gotówkowej</t>
  </si>
  <si>
    <t>wskaźnik spłaty zobowiązań</t>
  </si>
  <si>
    <t>Z analizy wskaźników cząstkowych wynikło, że najmniejsza kwota środków pieniężnych z działalności operacyjnej przypada na 1 złotówkę niezbędnych wydatków z zakresu spłaty zobowiązań. Wskazuje to na słabe zabezpieczenie zobowiązań ogółem przez przepływy gotówkowe. W przypadku pokrycia wydatków inwestycycyjnych i pokrycia dywident wskaźnik przyjmuje prawidłowe wartości (z wyjątkiem wydatków inwestycyjnych, 2019). Wypłacanie dywident i wydatków inwestycyjnych jest w pełni pokryty gotówką z przepływów operacyjnych.</t>
  </si>
  <si>
    <t>wskaźnik pokrycia wydatków inwestycyjnych</t>
  </si>
  <si>
    <t>wskaźnik pokrycia dywidend</t>
  </si>
  <si>
    <t>Wskaźniki wydajności gotówkowej</t>
  </si>
  <si>
    <t>Wskaźnik wydajności gotówkowej sprzedaży</t>
  </si>
  <si>
    <t>Wskaźnik wydajności gotówkowej aktywów</t>
  </si>
  <si>
    <t>Wskaźnik wydajności gotówkowej zysku</t>
  </si>
  <si>
    <t>Dynamiczne wskaźniki zadłużenia</t>
  </si>
  <si>
    <t>Wskaźnik ogólnego zadłużenia</t>
  </si>
  <si>
    <t>Wskaźnik ogólnego zadłużenia pokazuje spadek zadłużenia przedsiębiorstwa na przestrzeni badanych lat. Wskaźnik oscyluje poniżej granic, które są od 57% do 65%.</t>
  </si>
  <si>
    <t>Majątek przedsiębiorstwa jest w około 48% finansowany kapitałami obcymi. Korzystny wynik świadczący o niskim ryzyku finansowym, związanym ze zdolnością do zwrotu długu. Dodatkowo wskaźnik zadłużenia kapitału własnego maleje, lecz wciąż jest wysoki i na każdą złotówkę kapitału własnego przypada ponad 88 gr zobowiązań. Dość wysoki poziom wskaźnika zadłużenia długoterminowego może wskazywać na pogorszenie zdolności i wiarygodności kredytowej przedsiębiorstwa. Wysoka zdolność pokrycia odsetek, z kapitału własnego firma jest w stanie 13-krotnie pokryć odsetki. Wskaźnik ogólnego zadłużenia jest mniejszy niż w sektorowych wskaźnikach sektorowych w 2020 i 2019 roku. Natomiast wskaźnik zadłużenia długoterminowego jest prawie 2 razy większy, co świadczy o tym, że spółka Makarony jest dużo bardziej zadłużona niż inne firmy w Sekcji C.</t>
  </si>
  <si>
    <t>Wskaźnik zadłużenia kapitału własnego</t>
  </si>
  <si>
    <t>Badany wskaźnik maleje, co świadczy o tym że firma zmniejsza swoje długi. Wskaźnik jest ponad zadowalającym poziomem (50%) lecz z roku na rok maleje.</t>
  </si>
  <si>
    <t>Wskaźnk zadłużenia długoterminowego</t>
  </si>
  <si>
    <t>Wskaźnik poniżej 0,5 może świadczyć o niepełnym wykorzystywaniu możliwości zwiększenia efektywności działania firmy. Wskaźnik powinien oscylować w okolicach 100%.</t>
  </si>
  <si>
    <t xml:space="preserve"> </t>
  </si>
  <si>
    <t>Wskaźnk pokrycia odsetek</t>
  </si>
  <si>
    <t xml:space="preserve">Z roku 2019 wskaźnik wzrósł o 5, najlepsza zdolność firmy do spłaty zobowiązań odsetkowych była w 2020 roku wynosiła 13,69. </t>
  </si>
  <si>
    <t>Wskaźnik pokrycia aktywów kapitałami własnymi</t>
  </si>
  <si>
    <t>Widoczny  jest wzrost wkaźnika na przestrzeni badanych lat. Część majątku jest finansowana przez kapitał obcy, nie świadczy to niekorzystnej sytuacji firmy.</t>
  </si>
  <si>
    <t>Mnożnik kapitału własnego</t>
  </si>
  <si>
    <t>Mnożnik informuje w jakim stopniu kapitał własny jest zaangażowany w majątek przedsiębiorstwa. Z roku na rok maleje  mnożnik kapitału własnego.</t>
  </si>
  <si>
    <t>Wskaźnik struktury zobowiązań długoterminowych</t>
  </si>
  <si>
    <t>Wskaźnik struktury wzrasta, z ponad 46% na niecałe 49%. Jest to zjawisko korzystne dla firmy, im dłuższy termin wymagalności zobowiązania tym łatwiej zaplanować jego refinansowanie.</t>
  </si>
  <si>
    <t>Wskaźnik struktury zobowiązań krótkoterminowych</t>
  </si>
  <si>
    <t>Wskaźnik struktury maleje, na 51%. Dla firmy jest to korzystne, ponieważ można uniknąć pojawienia się problemów z utrzymaniem odpowiedniej płynności w najbliższej przyszłości firmy.</t>
  </si>
  <si>
    <t>Wskaźnik zadłużenia aktywów trwałych</t>
  </si>
  <si>
    <t>Mimo spadku w 2020 roku, wskaźnik w 2021 roku w największym stopniu w badanych latach majątek trwały zabezpiecza zobowiązania długoterminowe firmy.</t>
  </si>
  <si>
    <t>Wskaźnik pokrycia zobowiązań długoterminowych majątkiem trwałym</t>
  </si>
  <si>
    <t>Wskaźnik pokrycia zobowiązań maleje aż o około 50%, co oznacza zmniejszenie pojemności zadłużeniowej przedsiębiorstwa. Lecz jest on wciąż wysoki, aby zabezpieczyć zobowiązania.</t>
  </si>
  <si>
    <t>Wskaźnik niezależności finansowej</t>
  </si>
  <si>
    <t xml:space="preserve">Ten wskaźnik informuje nas w jakim stopniu przewyższa zobowiązania ogółem. Wskaźnik rośnie na przestrzeni badanych lat. </t>
  </si>
  <si>
    <t xml:space="preserve"> 
a
r
u
t
k
u
r
t
</t>
  </si>
  <si>
    <t>Sprawozdanie z przepływów pieniężnych</t>
  </si>
  <si>
    <t xml:space="preserve">Zyski/straty z tytułu różnic kursowych dotyczące wyceny środków pieniężnych, </t>
  </si>
  <si>
    <t>ekwiwalentów środków pieniężnych oraz kredytów w rachunku bieżącym</t>
  </si>
  <si>
    <t>Rachunek zysków i strat</t>
  </si>
  <si>
    <t>0,54</t>
  </si>
  <si>
    <t>0,73</t>
  </si>
  <si>
    <t>0,6</t>
  </si>
  <si>
    <t>przeciętny stan zasobu</t>
  </si>
  <si>
    <t>01.01.2021.</t>
  </si>
  <si>
    <t>31.12.2021.</t>
  </si>
  <si>
    <t>01.01.2020.</t>
  </si>
  <si>
    <t>31.12.2020.</t>
  </si>
  <si>
    <t>aktywa ogółem</t>
  </si>
  <si>
    <t>aktywa trwałe</t>
  </si>
  <si>
    <t>aktywa obrotowe</t>
  </si>
  <si>
    <t>zapasy</t>
  </si>
  <si>
    <t>należności</t>
  </si>
  <si>
    <t>zobowiązania</t>
  </si>
  <si>
    <t>W 2021 roku każda zaangażowana w aktywa złotówka przyniosła ok. 92 gr przychodów ze sprzedaży. W 2020 roku kwota wyniosła ok. 1,12 zł- jest to wartość poniżej średniej dla branży przetwórstwa przemysłowego w Polsce w danym roku.</t>
  </si>
  <si>
    <t>Wskaźnik rotacji aktywów</t>
  </si>
  <si>
    <t>Wskaźnik rotacji aktywów trwałych</t>
  </si>
  <si>
    <t>Wskaźnik rotacji aktywów obrotowych</t>
  </si>
  <si>
    <t>W 2021 roku był 3 razy większy od posiadanych przez przedsiębiorstwo aktywów obrotowych. W 2020 roku był większy o blisko 4,5 razy. Zauważalny jest zatem spadek stopnia wykorzystywania majątku obrotowego przedsiębiorstwa.</t>
  </si>
  <si>
    <t>Wskaźnik rotacji zapasów</t>
  </si>
  <si>
    <t>Wskaźnik rotacji zapasów w dniach</t>
  </si>
  <si>
    <t>W 2021 przedsiębiorstwo odnawiało swoje zapasy średnio co 33 dni, natomiast w 2020 roku liczba ta była równa 27. Wartość wskazuje na dosyć wolny obrót zapasami, jest to jednak okres krótszy niż średni dla sektora przetwórstwa przemysłowego, który wyniósł w 2020 roki 47 dni, a w 2021 roku 44.</t>
  </si>
  <si>
    <t>Wskaźnik rotacji należności</t>
  </si>
  <si>
    <t>W 2021 roku firma odtworzyła stan swoich należności 7,28 razy. W 2020 miało to miejsce 7,46 razy. Są to wartości na pograniczu normy. Optymalne byłoby zminimalizowanie jego wartości, co dostarczyłoby przedsiębiorstwu środków finansowych.</t>
  </si>
  <si>
    <t>Wskaźnik rotacji należności w dniach</t>
  </si>
  <si>
    <t>Firma nie uzyskała jeszcze swoich należności za 50 dni w 2021 roku, w 2020 roku natomiast za 48 dni. Są to jednak wartości niższe niż średnie wartości dla sektora działalności przedsiębiorstwa.</t>
  </si>
  <si>
    <t xml:space="preserve">Wskaźnik rotacji zobowiązań </t>
  </si>
  <si>
    <t>Wartość analizowanego wskaźnika z roku 2020 na 2021 spadła, co spowodowane jest wzrostem wartości zobowiązań, ale również spadkiem wartości przychodów ze sprzedaży. Oznacza to, że mógł nastąpić spadek efektywności wykorzystywania zobowiązań bieżących.</t>
  </si>
  <si>
    <t>Wskaźnik rotacji zobowiązań  w dniach</t>
  </si>
  <si>
    <t>Wskaźnik wskazuje, że w 2021 roku od momentu uzyskania od dostawców materiałów i surowców potrzebnych do wytworzenia wyrobów do czasu spłacenia powstałych wówczas zobowiązań minęło prawie 100 dni. W 2020 roku okres ten wyniósł 86 dni. Jest to w obu przypadkach wartość wyższa niż średnia wartość dla sektora działalności przedsiębiorstwa.</t>
  </si>
  <si>
    <t>Cykl środków pieniężnych</t>
  </si>
  <si>
    <t xml:space="preserve">Ujemna wartość wskaźnika oznacza, że spółka finansuje się na swoich dostawcach. </t>
  </si>
  <si>
    <t>Niski poziom, więcej produktów musi zostać sprzedana by osiągnąć określoną kwotę zysku. Na każdą złotówkę przychodów ze sprzedaży osiągnięto zysk netto w wysokości poniżej 4 gr. Zysk netto stanowi 3,92% generowanych przychodów.</t>
  </si>
  <si>
    <t>Wskaźniki rentowności sprzedaży są na niskim poziomie, rentowności majątku są bliskie niekorzystnej sytuacji dla firmy, gdzie jest mało efektywnie wykorzystywany majątek. Wskaźnik rentowności kapitału własnego jest niski i maleje z roku na rok, mało efektywne wykorzystanie kapitału własnego. Gotówkowa rentowność kapitału własnego na poziomie ponad 12% wskazuje na niskie możliwości dalszego rozwoju firmy. Wskaźnik rentowności sprzedaży jest porównywalny do sektorowych wskaźników finansowych w 2019 i 2020 roku, w 20221 roku natomiast przewyższa go o prawie 3%. Dodatkowo w 2020 roku wskaźnik rentowności kapitału własnego jest niewiele niższy o około 1,5%, lecz w 2019 roku różnica wynosiła więcej, bo aż o 3,5%.</t>
  </si>
  <si>
    <t>Dynamiczne wskaźniki rentowności</t>
  </si>
  <si>
    <t>Wskaźnik rentowności sprzedaży</t>
  </si>
  <si>
    <t>Wskaźnik rentowności majątku</t>
  </si>
  <si>
    <t>Sytuacja wskaźnika rentowności majątku była najlepsza w 2020 roku i wynosiła 4,33%, lecz na następny rok spadła aż o 1,5%.</t>
  </si>
  <si>
    <t>Rentowność aktywów trwałych</t>
  </si>
  <si>
    <t>Rentowność aktywów trwałych jest nierównomierna, wacha się od 4% do 6%. Im wyższy wskaźnik tym lepsza kondycja finansowa spółki.</t>
  </si>
  <si>
    <t>Rentowność aktywów obrotowych</t>
  </si>
  <si>
    <t>Rentowność aktywów obrotowych początkowo wzrosła, lecz na kolejny rok znacznie spadła. Oznacza to, że kondycja finansowa spółki pogorszyła się.</t>
  </si>
  <si>
    <t>Rentowność należności krótkoterminowych</t>
  </si>
  <si>
    <t xml:space="preserve">Rentownośc należności krótkoterminowych wzrosła prawie o 10% lecz na rok 2021 spadła do ponad 23%. </t>
  </si>
  <si>
    <t>Rentowność rzeczowych aktywów trwałych</t>
  </si>
  <si>
    <t>Rentowność rzeczowych aktywów trwałych wacha się pomiędzy od 6% do ponad 8,5%.</t>
  </si>
  <si>
    <t>Wskaźnik rentowności kapitału własnego</t>
  </si>
  <si>
    <t>Początkowo wskaźnik wzrósł o około 1%, lecz w 2021 spadł o 3%.</t>
  </si>
  <si>
    <t>Gotówkowa rentowność kapitału własnego </t>
  </si>
  <si>
    <t>Gotówkowa rentowność kapitału własnego świadczy o tym jaka część zainwestowanych środków zwróciła się przedsiębiorstwu.</t>
  </si>
  <si>
    <t>Gotówkowa rentowność kapitału obcego </t>
  </si>
  <si>
    <t>Zdolność do generowania gotówki z każdej zainwestowanej złotówki kapitału obcego na poziomie 14-15%</t>
  </si>
  <si>
    <t xml:space="preserve">W aktywach ogółem większy udział mają aktywa trwałe, których stan nie zmienia się zbytnio na przestrzeni lat, w przeciwieństwie do aktywów obrotowych, które na przełomie 2020/2021 wzrosły aż o 64%. W badanym okresie zmalał udział aktywów trwałych, co pociągnęło za sobą oczywiście wzrost udziału aktywów obrotowych. Uelastyczniło to nieznacznie strukturę majątkową, w której w dalszym ciągu znacznie przeważają aktywa trwałe.  W pasywach największy udział ma kapitał własny, który na przestrzeni lat wzrastał, oznacza to dla firmy, że ryzyko finansowe wzrasta i przy tym firma zadłuża się. Dodatkowo początkowo dominowały zobowiązania krótkoterminowe, natomiast w ostatnim roku poziom zobowiązań krótkoterminowych wyrównał się z zobowiązaniami długoterminowymi. Część majątku jednostki finansowana jest przez kapitał obcy, jednakże zachowana jest płynność finansowa, na co pozwala prowadzona przez nich konserwatywna strategia. W przychodach i kosztach zauważalny jest dominujący udział przychodów ze sprzedaży i kosztów sprzedanych produktów. Również zysk z tego zakresu działalności jednostki jest najwyższy. W każdym z badanych okresów przychody ze sprzedaży produktów, towarów i materiałów były niższe od kosztów ich wytworzenia. W analizie przepływów pieniężnych możemy wnioskować, iż firma generuje aktywa pieniężne i mogą być one wykorzystywane w regulowaniu zobowiązań. Występują również wysokie nakłady inwestycyjne, które nie są pokrywane przez wpływy inwestycyjne. Przedsiębiorstwo osiąga zyski, w 2020 roku firma wygenerowała wpływy ze sprzedaży, które przeznaczyła na inwestycje w aktywa trwałe. Natomiast w pozostałych latach firma przeznaczyła wpływy na wydatki inwestycyjne, które sprzyjały jego rozwojowi. Wskaźniki płynności poprawiają się na przestrzeni analizowanych lat. W 2021 roku przyjęły już prawidłowe wartości, choć w poprzednich latach wskazywały na trudności ze spłatą zobowiązań. Zagrożenie utratą płynności występuje we wszystkich okresach. Podczas analizy wskaźników cząstkowych również zauważalny był niski stopień zabezpieczenia zobowiązań ogółem przez przepływy gotówkowe. Analiza dynamicznych wskaźników płynności wykazała również brak wzrostu wydajności majątkowej przedsiębiorstwa. Z analizy zadłużenia możemy stwierdzić, iż majątek przedsiębiorstwa jest prawie w połowie finansowany kapitałami obcymi. Zdolność i wiarygodność kredytowa spółki mogą się pogorszyć, ze względu na wysoki poziom zadłużenia długoterminowego. Natomiast dla firmy spłata zobowiązań odsetkowych jest na korzystnym poziomie. Z analizy sprawności działania wyniknęło, że przedsiębiorstwo uzupełniało swój majątek o nowy sprzęt, co wyróżnia je wśród konkurencji, zauważamy jednak spadek stopnia wykorzystania majątku obrotowego jednostki. Widoczne jest także pogorszenie w zakresie gospodarowania zapasami przedsiębiorstwa.  Analizowana spółka odnotowała spadek efektywności wykorzystywania zobowiazań bieżących. Z analizy rentowności możemy wywnioskować, iż sytuacja firmy nie jest w najlepszym położeniu i ma niskie możliwości dalszego rozwoju. Możliwe, że konieczne okaże się pojawienie się nowych, bardziej rentownych linii biznesowych. Z powodu mało efektywnego wykorzystania majątku firmy oraz kapitału własnego. </t>
  </si>
  <si>
    <t>Stan spółki Makarony Polskie S.A. jest stabilny, jednostka przynosi dosyć niskie zyski, a także w przyszłości mogą pojawić się problemy z jej płynnością finansową. Zalecane jest, aby analizowane przedsiębiorstwo utrzymało tendencję spadkową wskaźnika zadłużenia firmy, co ułatwiłoby jej regulowanie zobowiązań. Firma obecnie finansuje się na swoich dostawcach, co także jest zewnętrzym źródłem finansowania. W przypadku sytuacji firmy zalecana jest przede wszystkim optymalizacja i doskonalenie procesów operacyjnych, co ułatwiłoby i poprawiłoby efektywność zarządzania jednostką, co z kolei zwiększyłoby rentowność firmy.</t>
  </si>
  <si>
    <t>Udział aktywów trwałych spada z 75% w latach 2019-2020 do 65% w 2021 roku. Oznacza to wzrost płynności majątkowej, a także spadek kosztów utrzymania majątku długookresowego. Ich dosyć wysoki poziom powoduje niestety mniejszą elastyczność na zmiany koniunktury gospodarczej, co w obecnych czasach (pandemia, wojna) znacznie zwiększa ryzyko związane z prowadzeniem działalności gospodarczej. Udział aktywów obrotowych wzrasta natomiast z 25% w latach 2019-2020 do 35% w roku 2021. Widoczny wzrost wartości tego wskaźnika może wskazywać na zmianie profilu działalności na bardziej elastyczny. We wszystkich badanych latach wskaźnik unieruchomienia majątku przyjmuje wysokie wartości od 1,86 do 3,00. Oznacza to znaczną przewagę aktywów trwałych nad obrotowymi, co niestety jest oznaką sztywnej i trudniejszej do korekt i zmian struktury majątkowej przedsiębiorstwa.</t>
  </si>
  <si>
    <t>Największy udział w aktywach ogółem z aktywów trwałych mają rzeczowe aktywa trwałe- jest to około 50%. Druga największa część przypada na długoterminowe aktywa finansowe- udziały. Aktywa trwałe odznaczają się niewielką dynamiką zmian- 2% i 3% w badanych okresach. Największe zmiany wykazują pozostałe aktywa długoterminowe- spadek o 57% i wzrost o 42%, a także aktywa trwałe- MSSF 16, czyli środków trwałych użytkowanych na podstawie umów leasingu. Jest to zmiana rzędu 30% i -38%.</t>
  </si>
  <si>
    <t>Widoczny jest dodatni wynik w badanych latach działalności operacyjnej świadczy to tym, że w przedsiębiorstwie generowane są aktywa pieniężne i mogą być wykorzystywane w regulowaniu zobowiązań. Również we wszystkich badanych latach występuje ujemny wynik działalności inwestycyjnej w przedsiębiorstwie oznacza to wysokie nakłady inwestycyjne, których nie pokrywają wpływy inwestycyjne. Dodatkowo w działalności finansowej w roku 2020 zauważamy utratę źródeł finansowania, lecz w 2021 i 2019 roku widoczne jest pozyskanie nowych źródeł finansowania.</t>
  </si>
  <si>
    <t>Przedstawiają stopień wygenerowania gotówki z działalności operacyjnej przez przychody ze sprzedaży, aktywa i zysk. Przepływy odniesione do zysku kształtują się na najwyższym poziomie- wielkość nadwyżki pieniężnej z działalności operacyjnej, którą uzyskuje się z 1 zł zysku wynosi średnio około 200% . Wskazuje na wysoką gotówkową efektywność działalności operacyjnej. Natomiast wskaźniki odniesione do sprzedaży i aktywów są na podobnym poziomie. Należałoby dążyć do maksymalizacji wartości wskaźnika wydajności gotówkowej sprzedaży, co zwiększyłoby bezpieczeństwo utrzymania płynności finansowej, co także oczywiście oznaczałoby zwiększenie ilości gotówki zrealizowanej ze sprzedaży, co jest bardzo pożądane przez wzgląd na charakter prowadzonej przez przedsiębiorstwo działalności. Niestety nie zauważam tendencji wzrostowej, co ma szczególne znaczenie dla wskaźnika wydajności gotówkowej aktywów. Nie wzrasta wydajność majątkowa przedsiębiorstwa.</t>
  </si>
  <si>
    <t>W 2021 roku był 1,32 razy większy od posiadanych przez przedsiębiorstwo aktywów trwałych. W 2020 roku był większy o blisko 1,5 razy. Obserwowany spadek w czasie może oznaczać, że amortyzowane środki trwały były przez firmę uzupełniane o nowe. Wartość wskaźnika dla sektoru przedsiębiorstwa w 2020 roku jest dwukrotnie wyższa od wartości wskaźnika obliczonego dla spółki Makarony Polskie S.A., oznacza to, że firmy konkurencyjne do naszej dysponują starszym, w większym stopniu zamortyzowanym majątkiem.</t>
  </si>
  <si>
    <t>W 2021 roku blisko 11 razy doszło do odtworzenia przez przedsiębiorstwo zapasów. W 2020 roku doszło do tego 13,4 krotnie. Spadek wartosci oznacza pogarszającą się gospodarkę zapasami i większe zamrożenie środków w nadmiernie nagromadzonych zapasach, co może zwiększać ryzyko utraty wartości użytkowej zapasów (np. upływ terminu przydatności do użycia).</t>
  </si>
  <si>
    <t>Autorka analizy: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</si>
</sst>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_(&quot;$&quot;* \(#,##0.00\);_(&quot;$&quot;* &quot;-&quot;??_);_(@_)"/>
    <numFmt numFmtId="165" formatCode="_(* #,##0.00_);_(* \(#,##0.00\);_(* &quot;-&quot;??_);_(@_)"/>
    <numFmt numFmtId="166" formatCode="_-* #,##0.00\ &quot;zł&quot;_-;\-* #,##0.00\ &quot;zł&quot;_-;_-* &quot;-&quot;??\ &quot;zł&quot;_-;_-@_-"/>
    <numFmt numFmtId="167" formatCode="_-* #,##0.00\ [$zł-415]_-;\-* #,##0.00\ [$zł-415]_-;_-* &quot;-&quot;??\ [$zł-415]_-;_-@_-"/>
    <numFmt numFmtId="168" formatCode="0.0000"/>
    <numFmt numFmtId="169" formatCode="0.000"/>
    <numFmt numFmtId="170" formatCode="_([$PLN]\ * #,##0.00_);_([$PLN]\ * \(#,##0.00\);_([$PLN]\ * &quot;-&quot;??_);_(@_)"/>
  </numFmts>
  <fonts count="19" x14ac:knownFonts="1">
    <font>
      <sz val="11"/>
      <color theme="1"/>
      <name val="Calibri"/>
      <family val="2"/>
      <charset val="238"/>
      <scheme val="minor"/>
    </font>
    <font>
      <sz val="11"/>
      <color theme="1"/>
      <name val="Calibri"/>
      <family val="2"/>
      <charset val="238"/>
      <scheme val="minor"/>
    </font>
    <font>
      <sz val="11"/>
      <color rgb="FF444444"/>
      <name val="Calibri"/>
      <family val="2"/>
      <charset val="238"/>
    </font>
    <font>
      <b/>
      <sz val="11"/>
      <color theme="1"/>
      <name val="Calibri"/>
      <family val="2"/>
      <charset val="238"/>
      <scheme val="minor"/>
    </font>
    <font>
      <sz val="11"/>
      <color rgb="FF444444"/>
      <name val="Calibri"/>
      <family val="2"/>
      <charset val="1"/>
    </font>
    <font>
      <b/>
      <sz val="12"/>
      <color rgb="FF000000"/>
      <name val="Calibri"/>
      <family val="2"/>
      <charset val="1"/>
    </font>
    <font>
      <sz val="11"/>
      <color rgb="FF000000"/>
      <name val="Calibri"/>
      <family val="2"/>
      <charset val="1"/>
    </font>
    <font>
      <b/>
      <sz val="11"/>
      <color rgb="FF000000"/>
      <name val="Calibri"/>
      <family val="2"/>
      <charset val="1"/>
    </font>
    <font>
      <sz val="12"/>
      <color rgb="FF000000"/>
      <name val="Calibri"/>
      <family val="2"/>
      <charset val="1"/>
    </font>
    <font>
      <sz val="11"/>
      <color theme="1"/>
      <name val="Calibri"/>
      <family val="2"/>
      <charset val="1"/>
    </font>
    <font>
      <b/>
      <sz val="11"/>
      <color theme="0"/>
      <name val="Calibri"/>
      <family val="2"/>
      <charset val="238"/>
      <scheme val="minor"/>
    </font>
    <font>
      <sz val="16"/>
      <color rgb="FF000000"/>
      <name val="Calibri"/>
      <family val="2"/>
      <charset val="1"/>
    </font>
    <font>
      <sz val="12"/>
      <color rgb="FF000000"/>
      <name val="Times New Roman"/>
      <family val="1"/>
      <charset val="1"/>
    </font>
    <font>
      <sz val="11"/>
      <color rgb="FF000000"/>
      <name val="Times New Roman"/>
      <family val="1"/>
      <charset val="1"/>
    </font>
    <font>
      <sz val="16"/>
      <color theme="1"/>
      <name val="Calibri"/>
      <family val="2"/>
      <charset val="1"/>
    </font>
    <font>
      <sz val="11"/>
      <color theme="0"/>
      <name val="Calibri"/>
      <family val="2"/>
      <charset val="238"/>
      <scheme val="minor"/>
    </font>
    <font>
      <sz val="10"/>
      <color rgb="FF000000"/>
      <name val="Calibri"/>
      <family val="2"/>
      <charset val="238"/>
    </font>
    <font>
      <sz val="11"/>
      <color rgb="FF000000"/>
      <name val="Calibri"/>
      <family val="2"/>
      <charset val="238"/>
    </font>
    <font>
      <sz val="10"/>
      <color theme="1"/>
      <name val="Calibri"/>
      <family val="2"/>
      <charset val="238"/>
      <scheme val="minor"/>
    </font>
  </fonts>
  <fills count="1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C0C0C0"/>
        <bgColor indexed="64"/>
      </patternFill>
    </fill>
    <fill>
      <patternFill patternType="solid">
        <fgColor rgb="FF9ABF8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157">
    <xf numFmtId="0" fontId="0" fillId="0" borderId="0" xfId="0"/>
    <xf numFmtId="3" fontId="0" fillId="0" borderId="0" xfId="0" applyNumberFormat="1"/>
    <xf numFmtId="167" fontId="0" fillId="0" borderId="0" xfId="0" applyNumberFormat="1"/>
    <xf numFmtId="9" fontId="0" fillId="0" borderId="0" xfId="1" applyFont="1"/>
    <xf numFmtId="0" fontId="0" fillId="2" borderId="0" xfId="0" applyFill="1"/>
    <xf numFmtId="10" fontId="0" fillId="0" borderId="0" xfId="0" applyNumberFormat="1"/>
    <xf numFmtId="10" fontId="0" fillId="3" borderId="0" xfId="0" applyNumberFormat="1" applyFill="1"/>
    <xf numFmtId="10" fontId="0" fillId="4" borderId="0" xfId="0" applyNumberFormat="1" applyFill="1"/>
    <xf numFmtId="10" fontId="0" fillId="2" borderId="0" xfId="0" applyNumberFormat="1" applyFill="1"/>
    <xf numFmtId="10" fontId="0" fillId="6" borderId="0" xfId="0" applyNumberFormat="1" applyFill="1"/>
    <xf numFmtId="168" fontId="0" fillId="0" borderId="0" xfId="0" applyNumberFormat="1"/>
    <xf numFmtId="2" fontId="0" fillId="0" borderId="0" xfId="0" applyNumberFormat="1"/>
    <xf numFmtId="0" fontId="0" fillId="0" borderId="0" xfId="0" applyAlignment="1">
      <alignment horizontal="center" vertical="center" wrapText="1"/>
    </xf>
    <xf numFmtId="0" fontId="3" fillId="0" borderId="0" xfId="0" applyFont="1"/>
    <xf numFmtId="0" fontId="3" fillId="6" borderId="0" xfId="0" applyFont="1" applyFill="1"/>
    <xf numFmtId="0" fontId="0" fillId="6" borderId="0" xfId="0" applyFill="1"/>
    <xf numFmtId="0" fontId="3" fillId="2" borderId="0" xfId="0" applyFont="1" applyFill="1"/>
    <xf numFmtId="167" fontId="3" fillId="2" borderId="0" xfId="0" applyNumberFormat="1" applyFont="1" applyFill="1"/>
    <xf numFmtId="9" fontId="3" fillId="2" borderId="0" xfId="1" applyFont="1" applyFill="1"/>
    <xf numFmtId="168" fontId="3" fillId="2" borderId="0" xfId="0" applyNumberFormat="1" applyFont="1" applyFill="1"/>
    <xf numFmtId="167" fontId="3" fillId="6" borderId="0" xfId="0" applyNumberFormat="1" applyFont="1" applyFill="1"/>
    <xf numFmtId="9" fontId="3" fillId="6" borderId="0" xfId="1" applyFont="1" applyFill="1"/>
    <xf numFmtId="166" fontId="0" fillId="0" borderId="0" xfId="2" applyNumberFormat="1" applyFont="1"/>
    <xf numFmtId="167" fontId="0" fillId="2" borderId="0" xfId="0" applyNumberFormat="1" applyFill="1"/>
    <xf numFmtId="167" fontId="0" fillId="6" borderId="0" xfId="0" applyNumberFormat="1" applyFill="1"/>
    <xf numFmtId="167" fontId="0" fillId="7" borderId="0" xfId="0" applyNumberFormat="1" applyFill="1"/>
    <xf numFmtId="0" fontId="0" fillId="7" borderId="0" xfId="0" applyFill="1"/>
    <xf numFmtId="0" fontId="3" fillId="7" borderId="0" xfId="0" applyFont="1" applyFill="1"/>
    <xf numFmtId="0" fontId="3" fillId="6" borderId="0" xfId="0" applyFont="1" applyFill="1" applyAlignment="1">
      <alignment horizontal="right"/>
    </xf>
    <xf numFmtId="0" fontId="3" fillId="5" borderId="0" xfId="0" applyFont="1" applyFill="1" applyAlignment="1">
      <alignment horizontal="center" vertical="center"/>
    </xf>
    <xf numFmtId="2" fontId="0" fillId="8" borderId="0" xfId="0" applyNumberFormat="1" applyFill="1" applyAlignment="1">
      <alignment horizontal="center" vertical="center"/>
    </xf>
    <xf numFmtId="0" fontId="0" fillId="0" borderId="0" xfId="2" applyNumberFormat="1" applyFont="1"/>
    <xf numFmtId="0" fontId="4" fillId="0" borderId="0" xfId="0" applyFont="1"/>
    <xf numFmtId="0" fontId="6" fillId="0" borderId="0" xfId="0" applyFont="1"/>
    <xf numFmtId="166" fontId="0" fillId="6" borderId="0" xfId="2" applyNumberFormat="1" applyFont="1" applyFill="1"/>
    <xf numFmtId="166" fontId="0" fillId="5" borderId="0" xfId="2" applyNumberFormat="1" applyFont="1" applyFill="1"/>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5" fillId="6" borderId="1" xfId="0" applyFont="1" applyFill="1" applyBorder="1"/>
    <xf numFmtId="0" fontId="5" fillId="6" borderId="1" xfId="0" applyFont="1" applyFill="1" applyBorder="1" applyAlignment="1">
      <alignment horizontal="center"/>
    </xf>
    <xf numFmtId="0" fontId="8" fillId="2" borderId="1" xfId="0" quotePrefix="1" applyFont="1" applyFill="1" applyBorder="1" applyAlignment="1">
      <alignment horizontal="center"/>
    </xf>
    <xf numFmtId="166" fontId="0" fillId="2" borderId="1" xfId="2" applyNumberFormat="1" applyFont="1" applyFill="1" applyBorder="1"/>
    <xf numFmtId="0" fontId="5" fillId="6" borderId="2" xfId="0" applyFont="1" applyFill="1" applyBorder="1" applyAlignment="1">
      <alignment horizontal="center" vertical="center" wrapText="1"/>
    </xf>
    <xf numFmtId="165" fontId="0" fillId="0" borderId="0" xfId="0" applyNumberFormat="1"/>
    <xf numFmtId="0" fontId="6" fillId="0" borderId="0" xfId="0" applyFont="1" applyAlignment="1">
      <alignment vertical="center"/>
    </xf>
    <xf numFmtId="0" fontId="7" fillId="6" borderId="0" xfId="0" applyFont="1" applyFill="1"/>
    <xf numFmtId="0" fontId="7" fillId="0" borderId="0" xfId="0" applyFont="1"/>
    <xf numFmtId="0" fontId="0" fillId="0" borderId="0" xfId="0" applyAlignment="1">
      <alignment horizontal="center"/>
    </xf>
    <xf numFmtId="0" fontId="0" fillId="6" borderId="0" xfId="0" applyFill="1" applyAlignment="1">
      <alignment horizontal="center"/>
    </xf>
    <xf numFmtId="0" fontId="0" fillId="2" borderId="0" xfId="0" applyFill="1" applyAlignment="1">
      <alignment horizontal="center"/>
    </xf>
    <xf numFmtId="2" fontId="6" fillId="2" borderId="0" xfId="0" applyNumberFormat="1" applyFont="1" applyFill="1" applyAlignment="1">
      <alignment vertical="center"/>
    </xf>
    <xf numFmtId="2" fontId="6" fillId="0" borderId="0" xfId="0" applyNumberFormat="1" applyFont="1" applyAlignment="1">
      <alignment vertical="center"/>
    </xf>
    <xf numFmtId="2" fontId="0" fillId="0" borderId="0" xfId="2" applyNumberFormat="1" applyFont="1" applyAlignment="1">
      <alignment horizontal="right"/>
    </xf>
    <xf numFmtId="10" fontId="6" fillId="2" borderId="0" xfId="0" applyNumberFormat="1" applyFont="1" applyFill="1"/>
    <xf numFmtId="10" fontId="6" fillId="0" borderId="0" xfId="0" applyNumberFormat="1" applyFont="1"/>
    <xf numFmtId="0" fontId="10" fillId="7" borderId="0" xfId="0" applyFont="1" applyFill="1"/>
    <xf numFmtId="0" fontId="10" fillId="9" borderId="0" xfId="0" applyFont="1" applyFill="1"/>
    <xf numFmtId="10" fontId="0" fillId="0" borderId="0" xfId="1" applyNumberFormat="1" applyFont="1"/>
    <xf numFmtId="0" fontId="0" fillId="5" borderId="0" xfId="0" applyFill="1"/>
    <xf numFmtId="0" fontId="0" fillId="10" borderId="0" xfId="0" applyFill="1"/>
    <xf numFmtId="10" fontId="3" fillId="0" borderId="0" xfId="1" applyNumberFormat="1" applyFont="1"/>
    <xf numFmtId="10" fontId="3" fillId="0" borderId="0" xfId="0" applyNumberFormat="1" applyFont="1"/>
    <xf numFmtId="0" fontId="0" fillId="11" borderId="0" xfId="0" applyFill="1"/>
    <xf numFmtId="0" fontId="10" fillId="9" borderId="0" xfId="0" applyFont="1" applyFill="1" applyAlignment="1">
      <alignment horizontal="center"/>
    </xf>
    <xf numFmtId="0" fontId="0" fillId="10" borderId="0" xfId="0" applyFill="1" applyAlignment="1">
      <alignment horizontal="center"/>
    </xf>
    <xf numFmtId="169" fontId="0" fillId="0" borderId="0" xfId="0" applyNumberFormat="1"/>
    <xf numFmtId="2" fontId="3" fillId="0" borderId="0" xfId="0" applyNumberFormat="1" applyFont="1"/>
    <xf numFmtId="0" fontId="3" fillId="0" borderId="0" xfId="0" applyFont="1" applyAlignment="1">
      <alignment horizontal="center" vertical="center"/>
    </xf>
    <xf numFmtId="0" fontId="11" fillId="0" borderId="0" xfId="0" applyFont="1" applyAlignment="1">
      <alignment readingOrder="1"/>
    </xf>
    <xf numFmtId="0" fontId="8" fillId="0" borderId="0" xfId="0" applyFont="1" applyAlignment="1">
      <alignment readingOrder="1"/>
    </xf>
    <xf numFmtId="0" fontId="6" fillId="0" borderId="0" xfId="0" applyFont="1" applyAlignment="1">
      <alignment readingOrder="1"/>
    </xf>
    <xf numFmtId="0" fontId="3" fillId="13" borderId="0" xfId="0" applyFont="1" applyFill="1"/>
    <xf numFmtId="167" fontId="0" fillId="13" borderId="0" xfId="0" applyNumberFormat="1" applyFill="1"/>
    <xf numFmtId="0" fontId="7" fillId="5" borderId="0" xfId="0" applyFont="1" applyFill="1"/>
    <xf numFmtId="170" fontId="0" fillId="0" borderId="0" xfId="0" applyNumberFormat="1"/>
    <xf numFmtId="167" fontId="15" fillId="7" borderId="0" xfId="0" applyNumberFormat="1" applyFont="1" applyFill="1"/>
    <xf numFmtId="0" fontId="15" fillId="7" borderId="0" xfId="0" applyFont="1" applyFill="1"/>
    <xf numFmtId="10" fontId="15" fillId="7" borderId="0" xfId="0" applyNumberFormat="1" applyFont="1" applyFill="1"/>
    <xf numFmtId="10" fontId="6" fillId="2" borderId="0" xfId="0" applyNumberFormat="1" applyFont="1" applyFill="1"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wrapText="1"/>
    </xf>
    <xf numFmtId="0" fontId="0" fillId="2" borderId="0" xfId="0" applyFill="1" applyAlignment="1">
      <alignment wrapText="1"/>
    </xf>
    <xf numFmtId="0" fontId="0" fillId="5" borderId="1" xfId="0" applyFill="1" applyBorder="1" applyAlignment="1">
      <alignment horizontal="center" vertical="center"/>
    </xf>
    <xf numFmtId="0" fontId="0" fillId="2" borderId="1" xfId="0" applyFill="1" applyBorder="1" applyAlignment="1">
      <alignment horizontal="center" vertical="center"/>
    </xf>
    <xf numFmtId="0" fontId="15" fillId="7" borderId="1" xfId="0" applyFont="1" applyFill="1" applyBorder="1" applyAlignment="1">
      <alignment horizontal="center" vertical="center"/>
    </xf>
    <xf numFmtId="167" fontId="0" fillId="8" borderId="0" xfId="0" applyNumberFormat="1" applyFill="1"/>
    <xf numFmtId="167" fontId="0" fillId="10" borderId="0" xfId="0" applyNumberFormat="1" applyFill="1"/>
    <xf numFmtId="0" fontId="0" fillId="8" borderId="0" xfId="0" applyFill="1"/>
    <xf numFmtId="169" fontId="0" fillId="0" borderId="0" xfId="1" applyNumberFormat="1" applyFont="1"/>
    <xf numFmtId="2" fontId="0" fillId="2" borderId="0" xfId="0" applyNumberFormat="1" applyFill="1"/>
    <xf numFmtId="2" fontId="0" fillId="5" borderId="0" xfId="0" applyNumberFormat="1" applyFill="1"/>
    <xf numFmtId="2" fontId="0" fillId="6" borderId="0" xfId="0" applyNumberFormat="1" applyFill="1"/>
    <xf numFmtId="10" fontId="6" fillId="0" borderId="0" xfId="0" applyNumberFormat="1" applyFont="1" applyAlignment="1">
      <alignment vertical="center"/>
    </xf>
    <xf numFmtId="10" fontId="0" fillId="2" borderId="0" xfId="1" applyNumberFormat="1" applyFont="1" applyFill="1"/>
    <xf numFmtId="10" fontId="0" fillId="2" borderId="0" xfId="1" applyNumberFormat="1" applyFont="1" applyFill="1" applyAlignment="1"/>
    <xf numFmtId="167" fontId="3" fillId="6" borderId="0" xfId="2" applyNumberFormat="1" applyFont="1" applyFill="1"/>
    <xf numFmtId="167" fontId="6" fillId="2" borderId="1" xfId="0" applyNumberFormat="1" applyFont="1" applyFill="1" applyBorder="1"/>
    <xf numFmtId="1" fontId="3" fillId="2" borderId="0" xfId="0" applyNumberFormat="1" applyFont="1" applyFill="1"/>
    <xf numFmtId="1" fontId="0" fillId="0" borderId="0" xfId="0" applyNumberFormat="1"/>
    <xf numFmtId="1" fontId="3" fillId="6" borderId="0" xfId="0" applyNumberFormat="1" applyFont="1" applyFill="1"/>
    <xf numFmtId="1" fontId="3" fillId="0" borderId="0" xfId="0" applyNumberFormat="1" applyFont="1"/>
    <xf numFmtId="1" fontId="3" fillId="13" borderId="0" xfId="0" applyNumberFormat="1" applyFont="1" applyFill="1"/>
    <xf numFmtId="1" fontId="0" fillId="6" borderId="0" xfId="0" applyNumberFormat="1" applyFill="1"/>
    <xf numFmtId="1" fontId="0" fillId="2" borderId="0" xfId="0" applyNumberFormat="1" applyFill="1"/>
    <xf numFmtId="1" fontId="0" fillId="13" borderId="0" xfId="0" applyNumberFormat="1" applyFill="1"/>
    <xf numFmtId="1" fontId="6" fillId="0" borderId="0" xfId="0" applyNumberFormat="1" applyFont="1"/>
    <xf numFmtId="0" fontId="0" fillId="0" borderId="0" xfId="0" applyAlignment="1">
      <alignment vertical="center"/>
    </xf>
    <xf numFmtId="0" fontId="18" fillId="0" borderId="0" xfId="0" applyFont="1" applyAlignment="1">
      <alignment vertic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wrapText="1"/>
    </xf>
    <xf numFmtId="0" fontId="3" fillId="0" borderId="0" xfId="0" applyFont="1" applyAlignment="1">
      <alignment horizontal="center"/>
    </xf>
    <xf numFmtId="0" fontId="0" fillId="0" borderId="0" xfId="0" applyAlignment="1">
      <alignment horizontal="left" wrapText="1"/>
    </xf>
    <xf numFmtId="0" fontId="0" fillId="0" borderId="0" xfId="0" applyAlignment="1">
      <alignment horizontal="center" vertical="center" wrapText="1"/>
    </xf>
    <xf numFmtId="0" fontId="3" fillId="6" borderId="0" xfId="0" applyFont="1" applyFill="1" applyAlignment="1">
      <alignment horizontal="center"/>
    </xf>
    <xf numFmtId="0" fontId="3" fillId="2" borderId="0" xfId="0" applyFont="1" applyFill="1" applyAlignment="1">
      <alignment horizontal="center"/>
    </xf>
    <xf numFmtId="0" fontId="3" fillId="0" borderId="0" xfId="0" applyFont="1" applyAlignment="1">
      <alignment horizontal="center" vertical="top" wrapText="1"/>
    </xf>
    <xf numFmtId="0" fontId="3" fillId="0" borderId="0" xfId="0" applyFont="1" applyAlignment="1">
      <alignment horizontal="center" vertical="center" wrapText="1"/>
    </xf>
    <xf numFmtId="0" fontId="2" fillId="4" borderId="0" xfId="0" applyFont="1" applyFill="1" applyAlignment="1">
      <alignment vertical="center"/>
    </xf>
    <xf numFmtId="3" fontId="0" fillId="0" borderId="0" xfId="0" applyNumberFormat="1" applyAlignment="1">
      <alignment horizontal="center"/>
    </xf>
    <xf numFmtId="0" fontId="0" fillId="0" borderId="0" xfId="0" applyAlignment="1">
      <alignment vertical="center"/>
    </xf>
    <xf numFmtId="3" fontId="10" fillId="7" borderId="0" xfId="0" applyNumberFormat="1" applyFont="1" applyFill="1" applyAlignment="1">
      <alignment horizontal="center"/>
    </xf>
    <xf numFmtId="3" fontId="3" fillId="2" borderId="0" xfId="0" applyNumberFormat="1" applyFont="1" applyFill="1" applyAlignment="1">
      <alignment horizontal="center"/>
    </xf>
    <xf numFmtId="0" fontId="0" fillId="6" borderId="0" xfId="0" applyFill="1" applyAlignment="1">
      <alignment horizontal="center" wrapText="1"/>
    </xf>
    <xf numFmtId="0" fontId="0" fillId="6" borderId="0" xfId="0" applyFill="1" applyAlignment="1">
      <alignment horizontal="center"/>
    </xf>
    <xf numFmtId="0" fontId="10" fillId="7" borderId="0" xfId="0" applyFont="1" applyFill="1" applyAlignment="1">
      <alignment horizontal="center"/>
    </xf>
    <xf numFmtId="0" fontId="2" fillId="3" borderId="0" xfId="0" applyFont="1" applyFill="1" applyAlignment="1">
      <alignment horizontal="center"/>
    </xf>
    <xf numFmtId="0" fontId="0" fillId="2" borderId="0" xfId="0" applyFill="1" applyAlignment="1">
      <alignment horizontal="center"/>
    </xf>
    <xf numFmtId="0" fontId="0" fillId="5" borderId="0" xfId="0" applyFill="1" applyAlignment="1">
      <alignment horizontal="center"/>
    </xf>
    <xf numFmtId="0" fontId="0" fillId="0" borderId="0" xfId="0" applyAlignment="1">
      <alignment horizontal="center" wrapText="1"/>
    </xf>
    <xf numFmtId="0" fontId="3" fillId="13" borderId="0" xfId="0" applyFont="1" applyFill="1" applyAlignment="1">
      <alignment horizontal="center"/>
    </xf>
    <xf numFmtId="0" fontId="7" fillId="12" borderId="0" xfId="0" applyFont="1" applyFill="1" applyAlignment="1">
      <alignment horizontal="center" vertical="center" wrapText="1"/>
    </xf>
    <xf numFmtId="0" fontId="8" fillId="13" borderId="0" xfId="0" applyFont="1" applyFill="1" applyAlignment="1">
      <alignment horizontal="center" vertical="center" wrapText="1" readingOrder="1"/>
    </xf>
    <xf numFmtId="0" fontId="6" fillId="13" borderId="0" xfId="0" applyFont="1" applyFill="1" applyAlignment="1">
      <alignment horizontal="center" vertical="center" wrapText="1" readingOrder="1"/>
    </xf>
    <xf numFmtId="0" fontId="9" fillId="13" borderId="0" xfId="0" applyFont="1" applyFill="1" applyAlignment="1">
      <alignment horizontal="center" vertical="center" wrapText="1" readingOrder="1"/>
    </xf>
    <xf numFmtId="0" fontId="14" fillId="13" borderId="0" xfId="0" applyFont="1" applyFill="1" applyAlignment="1">
      <alignment horizontal="center" vertical="center" wrapText="1" readingOrder="1"/>
    </xf>
    <xf numFmtId="3" fontId="3" fillId="13" borderId="0" xfId="0" applyNumberFormat="1" applyFont="1" applyFill="1" applyAlignment="1">
      <alignment horizontal="center"/>
    </xf>
    <xf numFmtId="3" fontId="3" fillId="0" borderId="0" xfId="0" applyNumberFormat="1" applyFont="1" applyAlignment="1">
      <alignment horizontal="center"/>
    </xf>
    <xf numFmtId="0" fontId="3" fillId="7" borderId="0" xfId="0" applyFont="1" applyFill="1" applyAlignment="1">
      <alignment horizontal="center" vertical="center"/>
    </xf>
    <xf numFmtId="0" fontId="0" fillId="5"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3" fontId="3" fillId="6" borderId="0" xfId="0" applyNumberFormat="1" applyFont="1" applyFill="1" applyAlignment="1">
      <alignment horizontal="center"/>
    </xf>
    <xf numFmtId="0" fontId="0" fillId="2" borderId="0" xfId="0" applyFill="1" applyAlignment="1">
      <alignment horizontal="center" vertical="center" wrapText="1"/>
    </xf>
    <xf numFmtId="0" fontId="0" fillId="2" borderId="0" xfId="0" applyFill="1" applyAlignment="1">
      <alignment horizontal="center" vertical="center"/>
    </xf>
    <xf numFmtId="0" fontId="7" fillId="6" borderId="0" xfId="0" applyFont="1" applyFill="1" applyAlignment="1">
      <alignment horizontal="center" vertical="center" wrapText="1"/>
    </xf>
    <xf numFmtId="0" fontId="9" fillId="0" borderId="0" xfId="0" applyFont="1" applyAlignment="1">
      <alignment horizontal="center"/>
    </xf>
    <xf numFmtId="3" fontId="0" fillId="5" borderId="0" xfId="0" applyNumberFormat="1" applyFill="1" applyAlignment="1">
      <alignment horizontal="center"/>
    </xf>
    <xf numFmtId="0" fontId="4" fillId="5" borderId="0" xfId="0" applyFont="1" applyFill="1" applyAlignment="1">
      <alignment horizontal="center"/>
    </xf>
    <xf numFmtId="0" fontId="0" fillId="2" borderId="0" xfId="0" applyFill="1" applyAlignment="1">
      <alignment horizontal="left"/>
    </xf>
    <xf numFmtId="0" fontId="6" fillId="2" borderId="0" xfId="0" applyFont="1" applyFill="1"/>
    <xf numFmtId="0" fontId="6" fillId="2" borderId="0" xfId="0" applyFont="1" applyFill="1" applyAlignment="1">
      <alignment horizontal="left"/>
    </xf>
    <xf numFmtId="3" fontId="3" fillId="7" borderId="0" xfId="0" applyNumberFormat="1" applyFont="1" applyFill="1" applyAlignment="1">
      <alignment horizontal="center"/>
    </xf>
    <xf numFmtId="0" fontId="17" fillId="0" borderId="0" xfId="0" applyFont="1" applyAlignment="1">
      <alignment horizontal="center" wrapText="1"/>
    </xf>
    <xf numFmtId="0" fontId="3" fillId="7" borderId="0" xfId="0" applyFont="1" applyFill="1" applyAlignment="1">
      <alignment horizontal="center"/>
    </xf>
    <xf numFmtId="0" fontId="16" fillId="0" borderId="0" xfId="0" applyFont="1" applyAlignment="1">
      <alignment horizontal="center" vertical="center" wrapText="1"/>
    </xf>
  </cellXfs>
  <cellStyles count="3">
    <cellStyle name="Normalny" xfId="0" builtinId="0"/>
    <cellStyle name="Procentowy" xfId="1" builtinId="5"/>
    <cellStyle name="Walutowy" xfId="2" builtinId="4"/>
  </cellStyles>
  <dxfs count="0"/>
  <tableStyles count="0" defaultTableStyle="TableStyleMedium2" defaultPivotStyle="PivotStyleLight16"/>
  <colors>
    <mruColors>
      <color rgb="FF9ABF80"/>
      <color rgb="FFC0C0C0"/>
      <color rgb="FFFFD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pl-PL"/>
              <a:t>Udział aktywów trwałych i obrotowych w aktywach ogółem</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percentStacked"/>
        <c:varyColors val="0"/>
        <c:ser>
          <c:idx val="0"/>
          <c:order val="0"/>
          <c:tx>
            <c:v>Aktywa trawałe</c:v>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Aktywa!$P$3:$R$3</c:f>
              <c:numCache>
                <c:formatCode>General</c:formatCode>
                <c:ptCount val="3"/>
                <c:pt idx="0">
                  <c:v>2021</c:v>
                </c:pt>
                <c:pt idx="1">
                  <c:v>2020</c:v>
                </c:pt>
                <c:pt idx="2">
                  <c:v>2019</c:v>
                </c:pt>
              </c:numCache>
            </c:numRef>
          </c:cat>
          <c:val>
            <c:numRef>
              <c:f>Aktywa!$P$4:$R$4</c:f>
              <c:numCache>
                <c:formatCode>0.0000</c:formatCode>
                <c:ptCount val="3"/>
                <c:pt idx="0">
                  <c:v>0.65069517076723415</c:v>
                </c:pt>
                <c:pt idx="1">
                  <c:v>0.75008983803485718</c:v>
                </c:pt>
                <c:pt idx="2">
                  <c:v>0.74659222737819031</c:v>
                </c:pt>
              </c:numCache>
            </c:numRef>
          </c:val>
          <c:extLst>
            <c:ext xmlns:c16="http://schemas.microsoft.com/office/drawing/2014/chart" uri="{C3380CC4-5D6E-409C-BE32-E72D297353CC}">
              <c16:uniqueId val="{00000000-EB15-4CF5-A526-3F75726960CF}"/>
            </c:ext>
          </c:extLst>
        </c:ser>
        <c:ser>
          <c:idx val="1"/>
          <c:order val="1"/>
          <c:tx>
            <c:v>Aktywa obrotowe</c:v>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Aktywa!$P$3:$R$3</c:f>
              <c:numCache>
                <c:formatCode>General</c:formatCode>
                <c:ptCount val="3"/>
                <c:pt idx="0">
                  <c:v>2021</c:v>
                </c:pt>
                <c:pt idx="1">
                  <c:v>2020</c:v>
                </c:pt>
                <c:pt idx="2">
                  <c:v>2019</c:v>
                </c:pt>
              </c:numCache>
            </c:numRef>
          </c:cat>
          <c:val>
            <c:numRef>
              <c:f>Aktywa!$P$15:$R$15</c:f>
              <c:numCache>
                <c:formatCode>0.0000</c:formatCode>
                <c:ptCount val="3"/>
                <c:pt idx="0">
                  <c:v>0.34930482923276585</c:v>
                </c:pt>
                <c:pt idx="1">
                  <c:v>0.24991016196514285</c:v>
                </c:pt>
                <c:pt idx="2">
                  <c:v>0.25340777262180975</c:v>
                </c:pt>
              </c:numCache>
            </c:numRef>
          </c:val>
          <c:extLst>
            <c:ext xmlns:c16="http://schemas.microsoft.com/office/drawing/2014/chart" uri="{C3380CC4-5D6E-409C-BE32-E72D297353CC}">
              <c16:uniqueId val="{00000001-EB15-4CF5-A526-3F75726960CF}"/>
            </c:ext>
          </c:extLst>
        </c:ser>
        <c:dLbls>
          <c:dLblPos val="ctr"/>
          <c:showLegendKey val="0"/>
          <c:showVal val="1"/>
          <c:showCatName val="0"/>
          <c:showSerName val="0"/>
          <c:showPercent val="0"/>
          <c:showBubbleSize val="0"/>
        </c:dLbls>
        <c:gapWidth val="79"/>
        <c:overlap val="100"/>
        <c:axId val="481622639"/>
        <c:axId val="481625551"/>
      </c:barChart>
      <c:catAx>
        <c:axId val="481622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481625551"/>
        <c:crosses val="autoZero"/>
        <c:auto val="1"/>
        <c:lblAlgn val="ctr"/>
        <c:lblOffset val="100"/>
        <c:noMultiLvlLbl val="0"/>
      </c:catAx>
      <c:valAx>
        <c:axId val="481625551"/>
        <c:scaling>
          <c:orientation val="minMax"/>
        </c:scaling>
        <c:delete val="1"/>
        <c:axPos val="l"/>
        <c:numFmt formatCode="0%" sourceLinked="1"/>
        <c:majorTickMark val="none"/>
        <c:minorTickMark val="none"/>
        <c:tickLblPos val="nextTo"/>
        <c:crossAx val="4816226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U</a:t>
            </a:r>
            <a:r>
              <a:rPr lang="pl-PL"/>
              <a:t>DZIAŁ TRZECH</a:t>
            </a:r>
            <a:r>
              <a:rPr lang="pl-PL" baseline="0"/>
              <a:t> NAJWIĘKSZYCH SKŁADOWYCH AKTYWÓW TRWAŁYCH</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Rzeczowe aktywa</c:v>
          </c:tx>
          <c:spPr>
            <a:solidFill>
              <a:schemeClr val="accent6">
                <a:tint val="58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Aktywa!$P$3:$R$3</c:f>
              <c:numCache>
                <c:formatCode>General</c:formatCode>
                <c:ptCount val="3"/>
                <c:pt idx="0">
                  <c:v>2021</c:v>
                </c:pt>
                <c:pt idx="1">
                  <c:v>2020</c:v>
                </c:pt>
                <c:pt idx="2">
                  <c:v>2019</c:v>
                </c:pt>
              </c:numCache>
            </c:numRef>
          </c:cat>
          <c:val>
            <c:numRef>
              <c:f>Aktywa!$P$5:$R$5</c:f>
              <c:numCache>
                <c:formatCode>0.0000</c:formatCode>
                <c:ptCount val="3"/>
                <c:pt idx="0">
                  <c:v>0.43514568742231008</c:v>
                </c:pt>
                <c:pt idx="1">
                  <c:v>0.5021240278241228</c:v>
                </c:pt>
                <c:pt idx="2">
                  <c:v>0.48410145538915839</c:v>
                </c:pt>
              </c:numCache>
            </c:numRef>
          </c:val>
          <c:extLst>
            <c:ext xmlns:c16="http://schemas.microsoft.com/office/drawing/2014/chart" uri="{C3380CC4-5D6E-409C-BE32-E72D297353CC}">
              <c16:uniqueId val="{00000000-6BAC-4C4F-B991-531969FCCDF6}"/>
            </c:ext>
          </c:extLst>
        </c:ser>
        <c:ser>
          <c:idx val="1"/>
          <c:order val="1"/>
          <c:tx>
            <c:v>Inne wart. niematerialne</c:v>
          </c:tx>
          <c:spPr>
            <a:solidFill>
              <a:schemeClr val="accent6">
                <a:tint val="8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Aktywa!$P$3:$R$3</c:f>
              <c:numCache>
                <c:formatCode>General</c:formatCode>
                <c:ptCount val="3"/>
                <c:pt idx="0">
                  <c:v>2021</c:v>
                </c:pt>
                <c:pt idx="1">
                  <c:v>2020</c:v>
                </c:pt>
                <c:pt idx="2">
                  <c:v>2019</c:v>
                </c:pt>
              </c:numCache>
            </c:numRef>
          </c:cat>
          <c:val>
            <c:numRef>
              <c:f>Aktywa!$P$9:$R$9</c:f>
              <c:numCache>
                <c:formatCode>0.0000</c:formatCode>
                <c:ptCount val="3"/>
                <c:pt idx="0">
                  <c:v>2.9159388227821069E-2</c:v>
                </c:pt>
                <c:pt idx="1">
                  <c:v>3.458764342000565E-2</c:v>
                </c:pt>
                <c:pt idx="2">
                  <c:v>3.2588061590381773E-2</c:v>
                </c:pt>
              </c:numCache>
            </c:numRef>
          </c:val>
          <c:extLst>
            <c:ext xmlns:c16="http://schemas.microsoft.com/office/drawing/2014/chart" uri="{C3380CC4-5D6E-409C-BE32-E72D297353CC}">
              <c16:uniqueId val="{00000001-6BAC-4C4F-B991-531969FCCDF6}"/>
            </c:ext>
          </c:extLst>
        </c:ser>
        <c:ser>
          <c:idx val="2"/>
          <c:order val="2"/>
          <c:tx>
            <c:v>Udziały</c:v>
          </c:tx>
          <c:spPr>
            <a:solidFill>
              <a:schemeClr val="accent6">
                <a:shade val="8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Aktywa!$P$3:$R$3</c:f>
              <c:numCache>
                <c:formatCode>General</c:formatCode>
                <c:ptCount val="3"/>
                <c:pt idx="0">
                  <c:v>2021</c:v>
                </c:pt>
                <c:pt idx="1">
                  <c:v>2020</c:v>
                </c:pt>
                <c:pt idx="2">
                  <c:v>2019</c:v>
                </c:pt>
              </c:numCache>
            </c:numRef>
          </c:cat>
          <c:val>
            <c:numRef>
              <c:f>Aktywa!$P$10:$R$10</c:f>
              <c:numCache>
                <c:formatCode>0.0000</c:formatCode>
                <c:ptCount val="3"/>
                <c:pt idx="0">
                  <c:v>0.16471631885311883</c:v>
                </c:pt>
                <c:pt idx="1">
                  <c:v>0.19302343489309273</c:v>
                </c:pt>
                <c:pt idx="2">
                  <c:v>0.19827040708711241</c:v>
                </c:pt>
              </c:numCache>
            </c:numRef>
          </c:val>
          <c:extLst>
            <c:ext xmlns:c16="http://schemas.microsoft.com/office/drawing/2014/chart" uri="{C3380CC4-5D6E-409C-BE32-E72D297353CC}">
              <c16:uniqueId val="{00000002-6BAC-4C4F-B991-531969FCCDF6}"/>
            </c:ext>
          </c:extLst>
        </c:ser>
        <c:dLbls>
          <c:dLblPos val="outEnd"/>
          <c:showLegendKey val="0"/>
          <c:showVal val="1"/>
          <c:showCatName val="0"/>
          <c:showSerName val="0"/>
          <c:showPercent val="0"/>
          <c:showBubbleSize val="0"/>
        </c:dLbls>
        <c:gapWidth val="444"/>
        <c:overlap val="-90"/>
        <c:axId val="481663407"/>
        <c:axId val="481663823"/>
        <c:extLst>
          <c:ext xmlns:c15="http://schemas.microsoft.com/office/drawing/2012/chart" uri="{02D57815-91ED-43cb-92C2-25804820EDAC}">
            <c15:filteredBarSeries>
              <c15:ser>
                <c:idx val="3"/>
                <c:order val="3"/>
                <c:spPr>
                  <a:solidFill>
                    <a:schemeClr val="accent6">
                      <a:shade val="58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numRef>
                    <c:extLst>
                      <c:ext uri="{02D57815-91ED-43cb-92C2-25804820EDAC}">
                        <c15:formulaRef>
                          <c15:sqref>Aktywa!$P$3:$R$3</c15:sqref>
                        </c15:formulaRef>
                      </c:ext>
                    </c:extLst>
                    <c:numCache>
                      <c:formatCode>General</c:formatCode>
                      <c:ptCount val="3"/>
                      <c:pt idx="0">
                        <c:v>2021</c:v>
                      </c:pt>
                      <c:pt idx="1">
                        <c:v>2020</c:v>
                      </c:pt>
                      <c:pt idx="2">
                        <c:v>2019</c:v>
                      </c:pt>
                    </c:numCache>
                  </c:numRef>
                </c:cat>
                <c:val>
                  <c:numRef>
                    <c:extLst>
                      <c:ext uri="{02D57815-91ED-43cb-92C2-25804820EDAC}">
                        <c15:formulaRef>
                          <c15:sqref>Aktywa!$P$11:$R$11</c15:sqref>
                        </c15:formulaRef>
                      </c:ext>
                    </c:extLst>
                    <c:numCache>
                      <c:formatCode>0.0000</c:formatCode>
                      <c:ptCount val="3"/>
                      <c:pt idx="0">
                        <c:v>0.16471631885311883</c:v>
                      </c:pt>
                      <c:pt idx="1">
                        <c:v>0.19302343489309273</c:v>
                      </c:pt>
                      <c:pt idx="2">
                        <c:v>0.19827040708711241</c:v>
                      </c:pt>
                    </c:numCache>
                  </c:numRef>
                </c:val>
                <c:extLst>
                  <c:ext xmlns:c16="http://schemas.microsoft.com/office/drawing/2014/chart" uri="{C3380CC4-5D6E-409C-BE32-E72D297353CC}">
                    <c16:uniqueId val="{00000003-6BAC-4C4F-B991-531969FCCDF6}"/>
                  </c:ext>
                </c:extLst>
              </c15:ser>
            </c15:filteredBarSeries>
          </c:ext>
        </c:extLst>
      </c:barChart>
      <c:catAx>
        <c:axId val="481663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481663823"/>
        <c:crosses val="autoZero"/>
        <c:auto val="1"/>
        <c:lblAlgn val="ctr"/>
        <c:lblOffset val="100"/>
        <c:noMultiLvlLbl val="0"/>
      </c:catAx>
      <c:valAx>
        <c:axId val="481663823"/>
        <c:scaling>
          <c:orientation val="minMax"/>
        </c:scaling>
        <c:delete val="1"/>
        <c:axPos val="l"/>
        <c:numFmt formatCode="0.0000" sourceLinked="1"/>
        <c:majorTickMark val="none"/>
        <c:minorTickMark val="none"/>
        <c:tickLblPos val="nextTo"/>
        <c:crossAx val="4816634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U</a:t>
            </a:r>
            <a:r>
              <a:rPr lang="pl-PL"/>
              <a:t>działy w aktywach ogółem poszczególnych</a:t>
            </a:r>
            <a:r>
              <a:rPr lang="pl-PL" baseline="0"/>
              <a:t> składowych aktywów obrotowych</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v>Zapasy</c:v>
          </c:tx>
          <c:spPr>
            <a:ln w="38100" cap="flat" cmpd="dbl" algn="ctr">
              <a:solidFill>
                <a:schemeClr val="accent6"/>
              </a:solidFill>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Aktywa!$P$3:$R$3</c:f>
              <c:numCache>
                <c:formatCode>General</c:formatCode>
                <c:ptCount val="3"/>
                <c:pt idx="0">
                  <c:v>2021</c:v>
                </c:pt>
                <c:pt idx="1">
                  <c:v>2020</c:v>
                </c:pt>
                <c:pt idx="2">
                  <c:v>2019</c:v>
                </c:pt>
              </c:numCache>
            </c:numRef>
          </c:cat>
          <c:val>
            <c:numRef>
              <c:f>Aktywa!$P$16:$R$16</c:f>
              <c:numCache>
                <c:formatCode>0.0000</c:formatCode>
                <c:ptCount val="3"/>
                <c:pt idx="0">
                  <c:v>7.3421422978145523E-2</c:v>
                </c:pt>
                <c:pt idx="1">
                  <c:v>9.6550219461485148E-2</c:v>
                </c:pt>
                <c:pt idx="2">
                  <c:v>7.0231754904028693E-2</c:v>
                </c:pt>
              </c:numCache>
            </c:numRef>
          </c:val>
          <c:smooth val="0"/>
          <c:extLst>
            <c:ext xmlns:c16="http://schemas.microsoft.com/office/drawing/2014/chart" uri="{C3380CC4-5D6E-409C-BE32-E72D297353CC}">
              <c16:uniqueId val="{00000000-817D-4DEC-82F5-C27566010E11}"/>
            </c:ext>
          </c:extLst>
        </c:ser>
        <c:ser>
          <c:idx val="1"/>
          <c:order val="1"/>
          <c:tx>
            <c:v>Należności krótkoterminowe</c:v>
          </c:tx>
          <c:spPr>
            <a:ln w="38100" cap="flat" cmpd="dbl" algn="ctr">
              <a:solidFill>
                <a:schemeClr val="accent5"/>
              </a:solidFill>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Aktywa!$P$3:$R$3</c:f>
              <c:numCache>
                <c:formatCode>General</c:formatCode>
                <c:ptCount val="3"/>
                <c:pt idx="0">
                  <c:v>2021</c:v>
                </c:pt>
                <c:pt idx="1">
                  <c:v>2020</c:v>
                </c:pt>
                <c:pt idx="2">
                  <c:v>2019</c:v>
                </c:pt>
              </c:numCache>
            </c:numRef>
          </c:cat>
          <c:val>
            <c:numRef>
              <c:f>Aktywa!$P$17:$R$17</c:f>
              <c:numCache>
                <c:formatCode>0.0000</c:formatCode>
                <c:ptCount val="3"/>
                <c:pt idx="0">
                  <c:v>0.11743704036316444</c:v>
                </c:pt>
                <c:pt idx="1">
                  <c:v>0.13650889396545085</c:v>
                </c:pt>
                <c:pt idx="2">
                  <c:v>0.16363240877452015</c:v>
                </c:pt>
              </c:numCache>
            </c:numRef>
          </c:val>
          <c:smooth val="0"/>
          <c:extLst>
            <c:ext xmlns:c16="http://schemas.microsoft.com/office/drawing/2014/chart" uri="{C3380CC4-5D6E-409C-BE32-E72D297353CC}">
              <c16:uniqueId val="{00000001-817D-4DEC-82F5-C27566010E11}"/>
            </c:ext>
          </c:extLst>
        </c:ser>
        <c:ser>
          <c:idx val="2"/>
          <c:order val="2"/>
          <c:tx>
            <c:v>Śr. pieniężne i ich ekwiwalenty</c:v>
          </c:tx>
          <c:spPr>
            <a:ln w="38100" cap="flat" cmpd="dbl" algn="ctr">
              <a:solidFill>
                <a:schemeClr val="accent4"/>
              </a:solidFill>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Aktywa!$P$3:$R$3</c:f>
              <c:numCache>
                <c:formatCode>General</c:formatCode>
                <c:ptCount val="3"/>
                <c:pt idx="0">
                  <c:v>2021</c:v>
                </c:pt>
                <c:pt idx="1">
                  <c:v>2020</c:v>
                </c:pt>
                <c:pt idx="2">
                  <c:v>2019</c:v>
                </c:pt>
              </c:numCache>
            </c:numRef>
          </c:cat>
          <c:val>
            <c:numRef>
              <c:f>Aktywa!$P$20:$R$20</c:f>
              <c:numCache>
                <c:formatCode>0.0000</c:formatCode>
                <c:ptCount val="3"/>
                <c:pt idx="0">
                  <c:v>0.1430370666476834</c:v>
                </c:pt>
                <c:pt idx="1">
                  <c:v>2.3999589311840654E-3</c:v>
                </c:pt>
                <c:pt idx="2">
                  <c:v>4.6205969204809114E-3</c:v>
                </c:pt>
              </c:numCache>
            </c:numRef>
          </c:val>
          <c:smooth val="0"/>
          <c:extLst>
            <c:ext xmlns:c16="http://schemas.microsoft.com/office/drawing/2014/chart" uri="{C3380CC4-5D6E-409C-BE32-E72D297353CC}">
              <c16:uniqueId val="{00000002-817D-4DEC-82F5-C27566010E11}"/>
            </c:ext>
          </c:extLst>
        </c:ser>
        <c:dLbls>
          <c:dLblPos val="t"/>
          <c:showLegendKey val="0"/>
          <c:showVal val="1"/>
          <c:showCatName val="0"/>
          <c:showSerName val="0"/>
          <c:showPercent val="0"/>
          <c:showBubbleSize val="0"/>
        </c:dLbls>
        <c:smooth val="0"/>
        <c:axId val="372375871"/>
        <c:axId val="372378783"/>
      </c:lineChart>
      <c:catAx>
        <c:axId val="372375871"/>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372378783"/>
        <c:crosses val="autoZero"/>
        <c:auto val="1"/>
        <c:lblAlgn val="ctr"/>
        <c:lblOffset val="100"/>
        <c:noMultiLvlLbl val="0"/>
      </c:catAx>
      <c:valAx>
        <c:axId val="372378783"/>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372375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Wskaźnik</a:t>
            </a:r>
            <a:r>
              <a:rPr lang="pl-PL"/>
              <a:t> unieruchomienia majątku</a:t>
            </a:r>
            <a:r>
              <a:rPr lang="en-US"/>
              <a:t>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lineChart>
        <c:grouping val="standard"/>
        <c:varyColors val="0"/>
        <c:ser>
          <c:idx val="0"/>
          <c:order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Aktywa!$F$26:$H$26</c:f>
              <c:numCache>
                <c:formatCode>General</c:formatCode>
                <c:ptCount val="3"/>
                <c:pt idx="0">
                  <c:v>2021</c:v>
                </c:pt>
                <c:pt idx="1">
                  <c:v>2020</c:v>
                </c:pt>
                <c:pt idx="2">
                  <c:v>2019</c:v>
                </c:pt>
              </c:numCache>
            </c:numRef>
          </c:cat>
          <c:val>
            <c:numRef>
              <c:f>Aktywa!$F$29:$H$29</c:f>
              <c:numCache>
                <c:formatCode>0.00</c:formatCode>
                <c:ptCount val="3"/>
                <c:pt idx="0">
                  <c:v>1.8628290144068727</c:v>
                </c:pt>
                <c:pt idx="1">
                  <c:v>3.00143792527924</c:v>
                </c:pt>
                <c:pt idx="2">
                  <c:v>2.9462088698140199</c:v>
                </c:pt>
              </c:numCache>
            </c:numRef>
          </c:val>
          <c:smooth val="0"/>
          <c:extLst>
            <c:ext xmlns:c16="http://schemas.microsoft.com/office/drawing/2014/chart" uri="{C3380CC4-5D6E-409C-BE32-E72D297353CC}">
              <c16:uniqueId val="{00000000-B69A-42CF-B09F-F6941AF0BF5C}"/>
            </c:ext>
          </c:extLst>
        </c:ser>
        <c:dLbls>
          <c:dLblPos val="t"/>
          <c:showLegendKey val="0"/>
          <c:showVal val="1"/>
          <c:showCatName val="0"/>
          <c:showSerName val="0"/>
          <c:showPercent val="0"/>
          <c:showBubbleSize val="0"/>
        </c:dLbls>
        <c:marker val="1"/>
        <c:smooth val="0"/>
        <c:axId val="781633871"/>
        <c:axId val="781625967"/>
      </c:line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pl-PL"/>
              <a:t>Wskaźniki udziału</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percentStacked"/>
        <c:varyColors val="0"/>
        <c:ser>
          <c:idx val="0"/>
          <c:order val="0"/>
          <c:tx>
            <c:v>aktywów trwałych</c:v>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Aktywa!$F$26:$H$26</c:f>
              <c:numCache>
                <c:formatCode>General</c:formatCode>
                <c:ptCount val="3"/>
                <c:pt idx="0">
                  <c:v>2021</c:v>
                </c:pt>
                <c:pt idx="1">
                  <c:v>2020</c:v>
                </c:pt>
                <c:pt idx="2">
                  <c:v>2019</c:v>
                </c:pt>
              </c:numCache>
            </c:numRef>
          </c:cat>
          <c:val>
            <c:numRef>
              <c:f>Aktywa!$F$27:$H$27</c:f>
              <c:numCache>
                <c:formatCode>0.00</c:formatCode>
                <c:ptCount val="3"/>
                <c:pt idx="0">
                  <c:v>0.65069517076723415</c:v>
                </c:pt>
                <c:pt idx="1">
                  <c:v>0.75008983803485718</c:v>
                </c:pt>
                <c:pt idx="2">
                  <c:v>0.74659222737819031</c:v>
                </c:pt>
              </c:numCache>
            </c:numRef>
          </c:val>
          <c:extLst>
            <c:ext xmlns:c16="http://schemas.microsoft.com/office/drawing/2014/chart" uri="{C3380CC4-5D6E-409C-BE32-E72D297353CC}">
              <c16:uniqueId val="{00000000-256E-4223-BE65-5CA5EEECD501}"/>
            </c:ext>
          </c:extLst>
        </c:ser>
        <c:ser>
          <c:idx val="1"/>
          <c:order val="1"/>
          <c:tx>
            <c:v>aktywów obrotowych</c:v>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Aktywa!$F$26:$H$26</c:f>
              <c:numCache>
                <c:formatCode>General</c:formatCode>
                <c:ptCount val="3"/>
                <c:pt idx="0">
                  <c:v>2021</c:v>
                </c:pt>
                <c:pt idx="1">
                  <c:v>2020</c:v>
                </c:pt>
                <c:pt idx="2">
                  <c:v>2019</c:v>
                </c:pt>
              </c:numCache>
            </c:numRef>
          </c:cat>
          <c:val>
            <c:numRef>
              <c:f>Aktywa!$F$28:$H$28</c:f>
              <c:numCache>
                <c:formatCode>0.00</c:formatCode>
                <c:ptCount val="3"/>
                <c:pt idx="0">
                  <c:v>0.34930482923276585</c:v>
                </c:pt>
                <c:pt idx="1">
                  <c:v>0.24991016196514285</c:v>
                </c:pt>
                <c:pt idx="2">
                  <c:v>0.25340777262180975</c:v>
                </c:pt>
              </c:numCache>
            </c:numRef>
          </c:val>
          <c:extLst>
            <c:ext xmlns:c16="http://schemas.microsoft.com/office/drawing/2014/chart" uri="{C3380CC4-5D6E-409C-BE32-E72D297353CC}">
              <c16:uniqueId val="{00000001-256E-4223-BE65-5CA5EEECD501}"/>
            </c:ext>
          </c:extLst>
        </c:ser>
        <c:dLbls>
          <c:dLblPos val="ctr"/>
          <c:showLegendKey val="0"/>
          <c:showVal val="1"/>
          <c:showCatName val="0"/>
          <c:showSerName val="0"/>
          <c:showPercent val="0"/>
          <c:showBubbleSize val="0"/>
        </c:dLbls>
        <c:gapWidth val="79"/>
        <c:overlap val="100"/>
        <c:axId val="721613855"/>
        <c:axId val="721623423"/>
      </c:barChart>
      <c:catAx>
        <c:axId val="72161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21623423"/>
        <c:crosses val="autoZero"/>
        <c:auto val="1"/>
        <c:lblAlgn val="ctr"/>
        <c:lblOffset val="100"/>
        <c:noMultiLvlLbl val="0"/>
      </c:catAx>
      <c:valAx>
        <c:axId val="721623423"/>
        <c:scaling>
          <c:orientation val="minMax"/>
        </c:scaling>
        <c:delete val="1"/>
        <c:axPos val="l"/>
        <c:numFmt formatCode="0%" sourceLinked="1"/>
        <c:majorTickMark val="none"/>
        <c:minorTickMark val="none"/>
        <c:tickLblPos val="nextTo"/>
        <c:crossAx val="7216138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Wskaźnik</a:t>
            </a:r>
            <a:r>
              <a:rPr lang="pl-PL"/>
              <a:t> stopnia</a:t>
            </a:r>
            <a:r>
              <a:rPr lang="pl-PL" baseline="0"/>
              <a:t> samofinansowania</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Pasywa!$D$28</c:f>
              <c:strCache>
                <c:ptCount val="1"/>
                <c:pt idx="0">
                  <c:v>Wskaźnik stopnia samofinansowania</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Pt>
            <c:idx val="1"/>
            <c:marker>
              <c:symbol val="diamond"/>
              <c:size val="6"/>
              <c:spPr>
                <a:solidFill>
                  <a:schemeClr val="accent6"/>
                </a:solidFill>
                <a:ln w="9525">
                  <a:solidFill>
                    <a:schemeClr val="accent6"/>
                  </a:solidFill>
                  <a:round/>
                </a:ln>
                <a:effectLst/>
              </c:spPr>
            </c:marker>
            <c:bubble3D val="0"/>
            <c:spPr>
              <a:ln w="22225" cap="rnd">
                <a:solidFill>
                  <a:schemeClr val="accent6"/>
                </a:solidFill>
                <a:round/>
              </a:ln>
              <a:effectLst/>
            </c:spPr>
            <c:extLst>
              <c:ext xmlns:c16="http://schemas.microsoft.com/office/drawing/2014/chart" uri="{C3380CC4-5D6E-409C-BE32-E72D297353CC}">
                <c16:uniqueId val="{00000002-96FD-D344-8F91-1FEC6EC16972}"/>
              </c:ext>
            </c:extLst>
          </c:dPt>
          <c:dPt>
            <c:idx val="2"/>
            <c:marker>
              <c:symbol val="diamond"/>
              <c:size val="6"/>
              <c:spPr>
                <a:solidFill>
                  <a:schemeClr val="accent6"/>
                </a:solidFill>
                <a:ln w="9525">
                  <a:solidFill>
                    <a:schemeClr val="accent6"/>
                  </a:solidFill>
                  <a:round/>
                </a:ln>
                <a:effectLst/>
              </c:spPr>
            </c:marker>
            <c:bubble3D val="0"/>
            <c:spPr>
              <a:ln w="22225" cap="rnd">
                <a:solidFill>
                  <a:schemeClr val="accent6"/>
                </a:solidFill>
                <a:round/>
              </a:ln>
              <a:effectLst/>
            </c:spPr>
            <c:extLst>
              <c:ext xmlns:c16="http://schemas.microsoft.com/office/drawing/2014/chart" uri="{C3380CC4-5D6E-409C-BE32-E72D297353CC}">
                <c16:uniqueId val="{00000001-96FD-D344-8F91-1FEC6EC169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Pasywa!$H$3:$J$3</c:f>
              <c:numCache>
                <c:formatCode>General</c:formatCode>
                <c:ptCount val="3"/>
                <c:pt idx="0">
                  <c:v>2021</c:v>
                </c:pt>
                <c:pt idx="1">
                  <c:v>2020</c:v>
                </c:pt>
                <c:pt idx="2">
                  <c:v>2019</c:v>
                </c:pt>
              </c:numCache>
            </c:numRef>
          </c:cat>
          <c:val>
            <c:numRef>
              <c:f>Pasywa!$H$28:$J$28</c:f>
              <c:numCache>
                <c:formatCode>0.00</c:formatCode>
                <c:ptCount val="3"/>
                <c:pt idx="0">
                  <c:v>1.1304642019669378</c:v>
                </c:pt>
                <c:pt idx="1">
                  <c:v>1.1050100633518392</c:v>
                </c:pt>
                <c:pt idx="2">
                  <c:v>1.0406208807467785</c:v>
                </c:pt>
              </c:numCache>
            </c:numRef>
          </c:val>
          <c:smooth val="0"/>
          <c:extLst>
            <c:ext xmlns:c16="http://schemas.microsoft.com/office/drawing/2014/chart" uri="{C3380CC4-5D6E-409C-BE32-E72D297353CC}">
              <c16:uniqueId val="{00000000-96FD-D344-8F91-1FEC6EC16972}"/>
            </c:ext>
          </c:extLst>
        </c:ser>
        <c:dLbls>
          <c:dLblPos val="t"/>
          <c:showLegendKey val="0"/>
          <c:showVal val="1"/>
          <c:showCatName val="0"/>
          <c:showSerName val="0"/>
          <c:showPercent val="0"/>
          <c:showBubbleSize val="0"/>
        </c:dLbls>
        <c:marker val="1"/>
        <c:smooth val="0"/>
        <c:axId val="781633871"/>
        <c:axId val="781625967"/>
      </c:line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Wskaźnik</a:t>
            </a:r>
            <a:r>
              <a:rPr lang="pl-PL"/>
              <a:t> </a:t>
            </a:r>
            <a:r>
              <a:rPr lang="pl-PL" baseline="0"/>
              <a:t>PRZEKŁADNI KAPITAŁOWEJ</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Pasywa!$D$28</c:f>
              <c:strCache>
                <c:ptCount val="1"/>
                <c:pt idx="0">
                  <c:v>Wskaźnik stopnia samofinansowania</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Pasywa!$H$3:$J$3</c:f>
              <c:numCache>
                <c:formatCode>General</c:formatCode>
                <c:ptCount val="3"/>
                <c:pt idx="0">
                  <c:v>2021</c:v>
                </c:pt>
                <c:pt idx="1">
                  <c:v>2020</c:v>
                </c:pt>
                <c:pt idx="2">
                  <c:v>2019</c:v>
                </c:pt>
              </c:numCache>
            </c:numRef>
          </c:cat>
          <c:val>
            <c:numRef>
              <c:f>Pasywa!$H$29:$J$29</c:f>
              <c:numCache>
                <c:formatCode>0.00</c:formatCode>
                <c:ptCount val="3"/>
                <c:pt idx="0">
                  <c:v>0.88459236326109392</c:v>
                </c:pt>
                <c:pt idx="1">
                  <c:v>0.90496913391601985</c:v>
                </c:pt>
                <c:pt idx="2">
                  <c:v>0.96096476488379912</c:v>
                </c:pt>
              </c:numCache>
            </c:numRef>
          </c:val>
          <c:smooth val="0"/>
          <c:extLst>
            <c:ext xmlns:c16="http://schemas.microsoft.com/office/drawing/2014/chart" uri="{C3380CC4-5D6E-409C-BE32-E72D297353CC}">
              <c16:uniqueId val="{00000004-0D47-F342-A432-DFAD4A2F8909}"/>
            </c:ext>
          </c:extLst>
        </c:ser>
        <c:dLbls>
          <c:dLblPos val="t"/>
          <c:showLegendKey val="0"/>
          <c:showVal val="1"/>
          <c:showCatName val="0"/>
          <c:showSerName val="0"/>
          <c:showPercent val="0"/>
          <c:showBubbleSize val="0"/>
        </c:dLbls>
        <c:marker val="1"/>
        <c:smooth val="0"/>
        <c:axId val="781633871"/>
        <c:axId val="781625967"/>
      </c:line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ZŁOTA</a:t>
            </a:r>
            <a:r>
              <a:rPr lang="en-US" baseline="0"/>
              <a:t> REGUŁA FINANSOWANIA</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lineChart>
        <c:grouping val="standard"/>
        <c:varyColors val="0"/>
        <c:ser>
          <c:idx val="0"/>
          <c:order val="0"/>
          <c:tx>
            <c:strRef>
              <c:f>Pasywa!$D$28</c:f>
              <c:strCache>
                <c:ptCount val="1"/>
                <c:pt idx="0">
                  <c:v>Wskaźnik stopnia samofinansowania</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Pasywa!$H$3:$J$3</c:f>
              <c:numCache>
                <c:formatCode>General</c:formatCode>
                <c:ptCount val="3"/>
                <c:pt idx="0">
                  <c:v>2021</c:v>
                </c:pt>
                <c:pt idx="1">
                  <c:v>2020</c:v>
                </c:pt>
                <c:pt idx="2">
                  <c:v>2019</c:v>
                </c:pt>
              </c:numCache>
            </c:numRef>
          </c:cat>
          <c:val>
            <c:numRef>
              <c:f>Pasywa!$H$30:$J$30</c:f>
              <c:numCache>
                <c:formatCode>0.00</c:formatCode>
                <c:ptCount val="3"/>
                <c:pt idx="0">
                  <c:v>1.1304642019669378</c:v>
                </c:pt>
                <c:pt idx="1">
                  <c:v>1.1050100633518392</c:v>
                </c:pt>
                <c:pt idx="2">
                  <c:v>1.0406208807467785</c:v>
                </c:pt>
              </c:numCache>
            </c:numRef>
          </c:val>
          <c:smooth val="0"/>
          <c:extLst>
            <c:ext xmlns:c16="http://schemas.microsoft.com/office/drawing/2014/chart" uri="{C3380CC4-5D6E-409C-BE32-E72D297353CC}">
              <c16:uniqueId val="{00000000-4833-AA48-B434-D86E799FF5F3}"/>
            </c:ext>
          </c:extLst>
        </c:ser>
        <c:dLbls>
          <c:dLblPos val="t"/>
          <c:showLegendKey val="0"/>
          <c:showVal val="1"/>
          <c:showCatName val="0"/>
          <c:showSerName val="0"/>
          <c:showPercent val="0"/>
          <c:showBubbleSize val="0"/>
        </c:dLbls>
        <c:marker val="1"/>
        <c:smooth val="0"/>
        <c:axId val="781633871"/>
        <c:axId val="781625967"/>
      </c:line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pl-PL"/>
              <a:t>Udział Kapitału</a:t>
            </a:r>
            <a:r>
              <a:rPr lang="pl-PL" baseline="0"/>
              <a:t> własnego i zobowiązań ogółem</a:t>
            </a:r>
            <a:endParaRPr lang="pl-PL"/>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percentStacked"/>
        <c:varyColors val="0"/>
        <c:ser>
          <c:idx val="0"/>
          <c:order val="0"/>
          <c:tx>
            <c:v>Kapitał własny</c:v>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Pasywa!$L$3:$N$3</c:f>
              <c:numCache>
                <c:formatCode>General</c:formatCode>
                <c:ptCount val="3"/>
                <c:pt idx="0">
                  <c:v>2021</c:v>
                </c:pt>
                <c:pt idx="1">
                  <c:v>2020</c:v>
                </c:pt>
                <c:pt idx="2">
                  <c:v>2019</c:v>
                </c:pt>
              </c:numCache>
            </c:numRef>
          </c:cat>
          <c:val>
            <c:numRef>
              <c:f>Pasywa!$L$4:$N$4</c:f>
              <c:numCache>
                <c:formatCode>0.00%</c:formatCode>
                <c:ptCount val="3"/>
                <c:pt idx="0">
                  <c:v>0.53061872662457488</c:v>
                </c:pt>
                <c:pt idx="1">
                  <c:v>0.52494288867784078</c:v>
                </c:pt>
                <c:pt idx="2">
                  <c:v>0.50995306897279058</c:v>
                </c:pt>
              </c:numCache>
            </c:numRef>
          </c:val>
          <c:extLst>
            <c:ext xmlns:c16="http://schemas.microsoft.com/office/drawing/2014/chart" uri="{C3380CC4-5D6E-409C-BE32-E72D297353CC}">
              <c16:uniqueId val="{00000000-63C2-F84A-BEEA-AC0C097752DB}"/>
            </c:ext>
          </c:extLst>
        </c:ser>
        <c:ser>
          <c:idx val="1"/>
          <c:order val="1"/>
          <c:tx>
            <c:v>Zobowiązania ogółem</c:v>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Pasywa!$L$3:$N$3</c:f>
              <c:numCache>
                <c:formatCode>General</c:formatCode>
                <c:ptCount val="3"/>
                <c:pt idx="0">
                  <c:v>2021</c:v>
                </c:pt>
                <c:pt idx="1">
                  <c:v>2020</c:v>
                </c:pt>
                <c:pt idx="2">
                  <c:v>2019</c:v>
                </c:pt>
              </c:numCache>
            </c:numRef>
          </c:cat>
          <c:val>
            <c:numRef>
              <c:f>Pasywa!$L$25:$N$25</c:f>
              <c:numCache>
                <c:formatCode>0.00%</c:formatCode>
                <c:ptCount val="3"/>
                <c:pt idx="0">
                  <c:v>0.46938127337542507</c:v>
                </c:pt>
                <c:pt idx="1">
                  <c:v>0.47505711132215922</c:v>
                </c:pt>
                <c:pt idx="2">
                  <c:v>0.49004693102720948</c:v>
                </c:pt>
              </c:numCache>
            </c:numRef>
          </c:val>
          <c:extLst>
            <c:ext xmlns:c16="http://schemas.microsoft.com/office/drawing/2014/chart" uri="{C3380CC4-5D6E-409C-BE32-E72D297353CC}">
              <c16:uniqueId val="{00000001-63C2-F84A-BEEA-AC0C097752DB}"/>
            </c:ext>
          </c:extLst>
        </c:ser>
        <c:dLbls>
          <c:dLblPos val="ctr"/>
          <c:showLegendKey val="0"/>
          <c:showVal val="1"/>
          <c:showCatName val="0"/>
          <c:showSerName val="0"/>
          <c:showPercent val="0"/>
          <c:showBubbleSize val="0"/>
        </c:dLbls>
        <c:gapWidth val="79"/>
        <c:overlap val="100"/>
        <c:axId val="481622639"/>
        <c:axId val="481625551"/>
      </c:barChart>
      <c:catAx>
        <c:axId val="481622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481625551"/>
        <c:crosses val="autoZero"/>
        <c:auto val="1"/>
        <c:lblAlgn val="ctr"/>
        <c:lblOffset val="100"/>
        <c:noMultiLvlLbl val="0"/>
      </c:catAx>
      <c:valAx>
        <c:axId val="481625551"/>
        <c:scaling>
          <c:orientation val="minMax"/>
        </c:scaling>
        <c:delete val="1"/>
        <c:axPos val="l"/>
        <c:numFmt formatCode="0%" sourceLinked="1"/>
        <c:majorTickMark val="none"/>
        <c:minorTickMark val="none"/>
        <c:tickLblPos val="nextTo"/>
        <c:crossAx val="4816226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pl-PL"/>
              <a:t>Udział zobowiązań</a:t>
            </a:r>
            <a:r>
              <a:rPr lang="pl-PL" baseline="0"/>
              <a:t> krótkoterminowych oraz długoterminowych</a:t>
            </a:r>
            <a:endParaRPr lang="pl-PL"/>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percentStacked"/>
        <c:varyColors val="0"/>
        <c:ser>
          <c:idx val="0"/>
          <c:order val="0"/>
          <c:tx>
            <c:v>Zobowiązania długoterminowe</c:v>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Pasywa!$P$3:$R$3</c:f>
              <c:numCache>
                <c:formatCode>General</c:formatCode>
                <c:ptCount val="3"/>
                <c:pt idx="0">
                  <c:v>2021</c:v>
                </c:pt>
                <c:pt idx="1">
                  <c:v>2020</c:v>
                </c:pt>
                <c:pt idx="2">
                  <c:v>2019</c:v>
                </c:pt>
              </c:numCache>
            </c:numRef>
          </c:cat>
          <c:val>
            <c:numRef>
              <c:f>Pasywa!$P$9:$R$9</c:f>
              <c:numCache>
                <c:formatCode>0.00%</c:formatCode>
                <c:ptCount val="3"/>
                <c:pt idx="0">
                  <c:v>0.48994948493297713</c:v>
                </c:pt>
                <c:pt idx="1">
                  <c:v>0.44057219273007253</c:v>
                </c:pt>
                <c:pt idx="2">
                  <c:v>0.46336050359131625</c:v>
                </c:pt>
              </c:numCache>
            </c:numRef>
          </c:val>
          <c:extLst>
            <c:ext xmlns:c16="http://schemas.microsoft.com/office/drawing/2014/chart" uri="{C3380CC4-5D6E-409C-BE32-E72D297353CC}">
              <c16:uniqueId val="{00000000-BE97-D647-9317-4EF7881E24F8}"/>
            </c:ext>
          </c:extLst>
        </c:ser>
        <c:ser>
          <c:idx val="1"/>
          <c:order val="1"/>
          <c:tx>
            <c:v>Zobowiązania krótkoterminowe</c:v>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Pasywa!$P$3:$R$3</c:f>
              <c:numCache>
                <c:formatCode>General</c:formatCode>
                <c:ptCount val="3"/>
                <c:pt idx="0">
                  <c:v>2021</c:v>
                </c:pt>
                <c:pt idx="1">
                  <c:v>2020</c:v>
                </c:pt>
                <c:pt idx="2">
                  <c:v>2019</c:v>
                </c:pt>
              </c:numCache>
            </c:numRef>
          </c:cat>
          <c:val>
            <c:numRef>
              <c:f>Pasywa!$P$16:$R$16</c:f>
              <c:numCache>
                <c:formatCode>0.00%</c:formatCode>
                <c:ptCount val="3"/>
                <c:pt idx="0">
                  <c:v>0.51005051506702292</c:v>
                </c:pt>
                <c:pt idx="1">
                  <c:v>0.55942780726992747</c:v>
                </c:pt>
                <c:pt idx="2">
                  <c:v>0.53663949640868369</c:v>
                </c:pt>
              </c:numCache>
            </c:numRef>
          </c:val>
          <c:extLst>
            <c:ext xmlns:c16="http://schemas.microsoft.com/office/drawing/2014/chart" uri="{C3380CC4-5D6E-409C-BE32-E72D297353CC}">
              <c16:uniqueId val="{00000001-BE97-D647-9317-4EF7881E24F8}"/>
            </c:ext>
          </c:extLst>
        </c:ser>
        <c:dLbls>
          <c:dLblPos val="ctr"/>
          <c:showLegendKey val="0"/>
          <c:showVal val="1"/>
          <c:showCatName val="0"/>
          <c:showSerName val="0"/>
          <c:showPercent val="0"/>
          <c:showBubbleSize val="0"/>
        </c:dLbls>
        <c:gapWidth val="79"/>
        <c:overlap val="100"/>
        <c:axId val="481622639"/>
        <c:axId val="481625551"/>
      </c:barChart>
      <c:catAx>
        <c:axId val="481622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481625551"/>
        <c:crosses val="autoZero"/>
        <c:auto val="1"/>
        <c:lblAlgn val="ctr"/>
        <c:lblOffset val="100"/>
        <c:noMultiLvlLbl val="0"/>
      </c:catAx>
      <c:valAx>
        <c:axId val="481625551"/>
        <c:scaling>
          <c:orientation val="minMax"/>
        </c:scaling>
        <c:delete val="1"/>
        <c:axPos val="l"/>
        <c:numFmt formatCode="0%" sourceLinked="1"/>
        <c:majorTickMark val="none"/>
        <c:minorTickMark val="none"/>
        <c:tickLblPos val="nextTo"/>
        <c:crossAx val="4816226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Udział</a:t>
            </a:r>
            <a:r>
              <a:rPr lang="pl-PL"/>
              <a:t> poszczególnych składowych w kapitale trwałym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Kapitał podstawowy</c:v>
          </c:tx>
          <c:spPr>
            <a:solidFill>
              <a:schemeClr val="accent6">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Pasywa!$P$3:$R$3</c:f>
              <c:numCache>
                <c:formatCode>General</c:formatCode>
                <c:ptCount val="3"/>
                <c:pt idx="0">
                  <c:v>2021</c:v>
                </c:pt>
                <c:pt idx="1">
                  <c:v>2020</c:v>
                </c:pt>
                <c:pt idx="2">
                  <c:v>2019</c:v>
                </c:pt>
              </c:numCache>
            </c:numRef>
          </c:cat>
          <c:val>
            <c:numRef>
              <c:f>Pasywa!$P$5:$R$5</c:f>
              <c:numCache>
                <c:formatCode>0.00%</c:formatCode>
                <c:ptCount val="3"/>
                <c:pt idx="0">
                  <c:v>0.28637770897832815</c:v>
                </c:pt>
                <c:pt idx="1">
                  <c:v>0.33922131899028179</c:v>
                </c:pt>
                <c:pt idx="2">
                  <c:v>0.35868469353462762</c:v>
                </c:pt>
              </c:numCache>
            </c:numRef>
          </c:val>
          <c:extLst>
            <c:ext xmlns:c16="http://schemas.microsoft.com/office/drawing/2014/chart" uri="{C3380CC4-5D6E-409C-BE32-E72D297353CC}">
              <c16:uniqueId val="{00000000-6572-D743-8457-19BEF71DC6A8}"/>
            </c:ext>
          </c:extLst>
        </c:ser>
        <c:ser>
          <c:idx val="1"/>
          <c:order val="1"/>
          <c:tx>
            <c:v>Kapitał zapasowy</c:v>
          </c:tx>
          <c:spPr>
            <a:solidFill>
              <a:schemeClr val="accent6">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Pasywa!$P$3:$R$3</c:f>
              <c:numCache>
                <c:formatCode>General</c:formatCode>
                <c:ptCount val="3"/>
                <c:pt idx="0">
                  <c:v>2021</c:v>
                </c:pt>
                <c:pt idx="1">
                  <c:v>2020</c:v>
                </c:pt>
                <c:pt idx="2">
                  <c:v>2019</c:v>
                </c:pt>
              </c:numCache>
            </c:numRef>
          </c:cat>
          <c:val>
            <c:numRef>
              <c:f>Pasywa!$P$6:$R$6</c:f>
              <c:numCache>
                <c:formatCode>0.00%</c:formatCode>
                <c:ptCount val="3"/>
                <c:pt idx="0">
                  <c:v>0.40482972136222911</c:v>
                </c:pt>
                <c:pt idx="1">
                  <c:v>0.43155063871401506</c:v>
                </c:pt>
                <c:pt idx="2">
                  <c:v>0.41829744332135566</c:v>
                </c:pt>
              </c:numCache>
            </c:numRef>
          </c:val>
          <c:extLst>
            <c:ext xmlns:c16="http://schemas.microsoft.com/office/drawing/2014/chart" uri="{C3380CC4-5D6E-409C-BE32-E72D297353CC}">
              <c16:uniqueId val="{00000004-6572-D743-8457-19BEF71DC6A8}"/>
            </c:ext>
          </c:extLst>
        </c:ser>
        <c:ser>
          <c:idx val="2"/>
          <c:order val="2"/>
          <c:tx>
            <c:v>Kapitał rezerwowy</c:v>
          </c:tx>
          <c:spPr>
            <a:solidFill>
              <a:schemeClr val="accent6">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Pasywa!$P$3:$R$3</c:f>
              <c:numCache>
                <c:formatCode>General</c:formatCode>
                <c:ptCount val="3"/>
                <c:pt idx="0">
                  <c:v>2021</c:v>
                </c:pt>
                <c:pt idx="1">
                  <c:v>2020</c:v>
                </c:pt>
                <c:pt idx="2">
                  <c:v>2019</c:v>
                </c:pt>
              </c:numCache>
            </c:numRef>
          </c:cat>
          <c:val>
            <c:numRef>
              <c:f>Pasywa!$P$7:$R$7</c:f>
              <c:numCache>
                <c:formatCode>0.00%</c:formatCode>
                <c:ptCount val="3"/>
                <c:pt idx="0">
                  <c:v>0.25684210526315787</c:v>
                </c:pt>
                <c:pt idx="1">
                  <c:v>0.14669030010390563</c:v>
                </c:pt>
                <c:pt idx="2">
                  <c:v>0.15510689450146059</c:v>
                </c:pt>
              </c:numCache>
            </c:numRef>
          </c:val>
          <c:extLst>
            <c:ext xmlns:c16="http://schemas.microsoft.com/office/drawing/2014/chart" uri="{C3380CC4-5D6E-409C-BE32-E72D297353CC}">
              <c16:uniqueId val="{00000005-6572-D743-8457-19BEF71DC6A8}"/>
            </c:ext>
          </c:extLst>
        </c:ser>
        <c:ser>
          <c:idx val="3"/>
          <c:order val="3"/>
          <c:tx>
            <c:strRef>
              <c:f>Pasywa!$A$8</c:f>
              <c:strCache>
                <c:ptCount val="1"/>
                <c:pt idx="0">
                  <c:v>Zyski/straty zatrzymane (zysk/strata z lat ubiegłych)</c:v>
                </c:pt>
              </c:strCache>
            </c:strRef>
          </c:tx>
          <c:spPr>
            <a:solidFill>
              <a:schemeClr val="accent6">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Pasywa!$P$8:$R$8</c:f>
              <c:numCache>
                <c:formatCode>0.00%</c:formatCode>
                <c:ptCount val="3"/>
                <c:pt idx="0">
                  <c:v>5.1950464396284833E-2</c:v>
                </c:pt>
                <c:pt idx="1">
                  <c:v>8.2537742191797561E-2</c:v>
                </c:pt>
                <c:pt idx="2">
                  <c:v>7.2202259390429901E-2</c:v>
                </c:pt>
              </c:numCache>
            </c:numRef>
          </c:val>
          <c:extLst>
            <c:ext xmlns:c16="http://schemas.microsoft.com/office/drawing/2014/chart" uri="{C3380CC4-5D6E-409C-BE32-E72D297353CC}">
              <c16:uniqueId val="{00000006-6572-D743-8457-19BEF71DC6A8}"/>
            </c:ext>
          </c:extLst>
        </c:ser>
        <c:dLbls>
          <c:dLblPos val="outEnd"/>
          <c:showLegendKey val="0"/>
          <c:showVal val="1"/>
          <c:showCatName val="0"/>
          <c:showSerName val="0"/>
          <c:showPercent val="0"/>
          <c:showBubbleSize val="0"/>
        </c:dLbls>
        <c:gapWidth val="219"/>
        <c:overlap val="-27"/>
        <c:axId val="481663407"/>
        <c:axId val="481663823"/>
        <c:extLst/>
      </c:barChart>
      <c:catAx>
        <c:axId val="48166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81663823"/>
        <c:crosses val="autoZero"/>
        <c:auto val="1"/>
        <c:lblAlgn val="ctr"/>
        <c:lblOffset val="100"/>
        <c:noMultiLvlLbl val="0"/>
      </c:catAx>
      <c:valAx>
        <c:axId val="481663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81663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Stopień wyposażenia przedsiębiorstwa 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1"/>
          <c:order val="0"/>
          <c:tx>
            <c:v>Kapitał własny</c:v>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Pasywa!$AF$4:$AH$4</c:f>
              <c:numCache>
                <c:formatCode>General</c:formatCode>
                <c:ptCount val="3"/>
                <c:pt idx="0">
                  <c:v>2021</c:v>
                </c:pt>
                <c:pt idx="1">
                  <c:v>2020</c:v>
                </c:pt>
                <c:pt idx="2">
                  <c:v>2019</c:v>
                </c:pt>
              </c:numCache>
            </c:numRef>
          </c:cat>
          <c:val>
            <c:numRef>
              <c:f>Pasywa!$AF$5:$AH$5</c:f>
              <c:numCache>
                <c:formatCode>0.00%</c:formatCode>
                <c:ptCount val="3"/>
                <c:pt idx="0">
                  <c:v>0.53061872662457488</c:v>
                </c:pt>
                <c:pt idx="1">
                  <c:v>0.52494288867784078</c:v>
                </c:pt>
                <c:pt idx="2">
                  <c:v>0.50995306897279058</c:v>
                </c:pt>
              </c:numCache>
            </c:numRef>
          </c:val>
          <c:extLst>
            <c:ext xmlns:c16="http://schemas.microsoft.com/office/drawing/2014/chart" uri="{C3380CC4-5D6E-409C-BE32-E72D297353CC}">
              <c16:uniqueId val="{00000001-723F-4746-8DA2-DF09951271C1}"/>
            </c:ext>
          </c:extLst>
        </c:ser>
        <c:ser>
          <c:idx val="0"/>
          <c:order val="1"/>
          <c:tx>
            <c:v>Kapitał stały</c:v>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Pasywa!$AF$9:$AH$9</c:f>
              <c:numCache>
                <c:formatCode>0.00%</c:formatCode>
                <c:ptCount val="3"/>
                <c:pt idx="0">
                  <c:v>0.77737560030008157</c:v>
                </c:pt>
                <c:pt idx="1">
                  <c:v>0.75311866321004128</c:v>
                </c:pt>
                <c:pt idx="2">
                  <c:v>0.75844363003585746</c:v>
                </c:pt>
              </c:numCache>
            </c:numRef>
          </c:val>
          <c:extLst>
            <c:ext xmlns:c16="http://schemas.microsoft.com/office/drawing/2014/chart" uri="{C3380CC4-5D6E-409C-BE32-E72D297353CC}">
              <c16:uniqueId val="{00000004-723F-4746-8DA2-DF09951271C1}"/>
            </c:ext>
          </c:extLst>
        </c:ser>
        <c:dLbls>
          <c:dLblPos val="outEnd"/>
          <c:showLegendKey val="0"/>
          <c:showVal val="1"/>
          <c:showCatName val="0"/>
          <c:showSerName val="0"/>
          <c:showPercent val="0"/>
          <c:showBubbleSize val="0"/>
        </c:dLbls>
        <c:gapWidth val="219"/>
        <c:overlap val="-27"/>
        <c:axId val="481663407"/>
        <c:axId val="481663823"/>
        <c:extLst/>
      </c:barChart>
      <c:catAx>
        <c:axId val="48166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81663823"/>
        <c:crosses val="autoZero"/>
        <c:auto val="1"/>
        <c:lblAlgn val="ctr"/>
        <c:lblOffset val="100"/>
        <c:noMultiLvlLbl val="0"/>
      </c:catAx>
      <c:valAx>
        <c:axId val="481663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816634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Stopień obciążenia przedsiębiorstwa zobowiązaniami</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pl-PL"/>
        </a:p>
      </c:txPr>
    </c:title>
    <c:autoTitleDeleted val="0"/>
    <c:plotArea>
      <c:layout/>
      <c:barChart>
        <c:barDir val="col"/>
        <c:grouping val="clustered"/>
        <c:varyColors val="0"/>
        <c:ser>
          <c:idx val="1"/>
          <c:order val="0"/>
          <c:spPr>
            <a:pattFill prst="narHorz">
              <a:fgClr>
                <a:schemeClr val="accent6">
                  <a:shade val="76000"/>
                </a:schemeClr>
              </a:fgClr>
              <a:bgClr>
                <a:schemeClr val="accent6">
                  <a:shade val="76000"/>
                  <a:lumMod val="20000"/>
                  <a:lumOff val="80000"/>
                </a:schemeClr>
              </a:bgClr>
            </a:pattFill>
            <a:ln>
              <a:noFill/>
            </a:ln>
            <a:effectLst>
              <a:innerShdw blurRad="114300">
                <a:schemeClr val="accent6">
                  <a:shade val="76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Pasywa!$AF$4:$AH$4</c:f>
              <c:numCache>
                <c:formatCode>General</c:formatCode>
                <c:ptCount val="3"/>
                <c:pt idx="0">
                  <c:v>2021</c:v>
                </c:pt>
                <c:pt idx="1">
                  <c:v>2020</c:v>
                </c:pt>
                <c:pt idx="2">
                  <c:v>2019</c:v>
                </c:pt>
              </c:numCache>
            </c:numRef>
          </c:cat>
          <c:val>
            <c:numRef>
              <c:f>Pasywa!$AF$7:$AH$7</c:f>
              <c:numCache>
                <c:formatCode>0.00%</c:formatCode>
                <c:ptCount val="3"/>
                <c:pt idx="0">
                  <c:v>0.46938127337542507</c:v>
                </c:pt>
                <c:pt idx="1">
                  <c:v>0.47505711132215922</c:v>
                </c:pt>
                <c:pt idx="2">
                  <c:v>0.49004693102720948</c:v>
                </c:pt>
              </c:numCache>
            </c:numRef>
          </c:val>
          <c:extLst>
            <c:ext xmlns:c16="http://schemas.microsoft.com/office/drawing/2014/chart" uri="{C3380CC4-5D6E-409C-BE32-E72D297353CC}">
              <c16:uniqueId val="{00000000-0B05-AB4A-AB22-61D0E33263F9}"/>
            </c:ext>
          </c:extLst>
        </c:ser>
        <c:dLbls>
          <c:dLblPos val="outEnd"/>
          <c:showLegendKey val="0"/>
          <c:showVal val="1"/>
          <c:showCatName val="0"/>
          <c:showSerName val="0"/>
          <c:showPercent val="0"/>
          <c:showBubbleSize val="0"/>
        </c:dLbls>
        <c:gapWidth val="164"/>
        <c:overlap val="-22"/>
        <c:axId val="481663407"/>
        <c:axId val="481663823"/>
        <c:extLst/>
      </c:barChart>
      <c:catAx>
        <c:axId val="48166340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81663823"/>
        <c:crosses val="autoZero"/>
        <c:auto val="1"/>
        <c:lblAlgn val="ctr"/>
        <c:lblOffset val="100"/>
        <c:noMultiLvlLbl val="0"/>
      </c:catAx>
      <c:valAx>
        <c:axId val="4816638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8166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Udział rezerw w pasywach ogółem</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lineChart>
        <c:grouping val="standard"/>
        <c:varyColors val="0"/>
        <c:ser>
          <c:idx val="0"/>
          <c:order val="0"/>
          <c:tx>
            <c:strRef>
              <c:f>Pasywa!$AF$11:$AH$11</c:f>
              <c:strCache>
                <c:ptCount val="3"/>
                <c:pt idx="0">
                  <c:v>46,94%</c:v>
                </c:pt>
                <c:pt idx="1">
                  <c:v>47,51%</c:v>
                </c:pt>
                <c:pt idx="2">
                  <c:v>49,00%</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Pasywa!$AF$4:$AH$4</c:f>
              <c:numCache>
                <c:formatCode>General</c:formatCode>
                <c:ptCount val="3"/>
                <c:pt idx="0">
                  <c:v>2021</c:v>
                </c:pt>
                <c:pt idx="1">
                  <c:v>2020</c:v>
                </c:pt>
                <c:pt idx="2">
                  <c:v>2019</c:v>
                </c:pt>
              </c:numCache>
            </c:numRef>
          </c:cat>
          <c:val>
            <c:numRef>
              <c:f>Pasywa!$AF$11:$AH$11</c:f>
              <c:numCache>
                <c:formatCode>0.00%</c:formatCode>
                <c:ptCount val="3"/>
                <c:pt idx="0">
                  <c:v>0.46938127337542507</c:v>
                </c:pt>
                <c:pt idx="1">
                  <c:v>0.47505711132215922</c:v>
                </c:pt>
                <c:pt idx="2">
                  <c:v>0.49004693102720948</c:v>
                </c:pt>
              </c:numCache>
            </c:numRef>
          </c:val>
          <c:smooth val="0"/>
          <c:extLst>
            <c:ext xmlns:c16="http://schemas.microsoft.com/office/drawing/2014/chart" uri="{C3380CC4-5D6E-409C-BE32-E72D297353CC}">
              <c16:uniqueId val="{00000004-7F76-284B-B109-39437322C160}"/>
            </c:ext>
          </c:extLst>
        </c:ser>
        <c:dLbls>
          <c:dLblPos val="t"/>
          <c:showLegendKey val="0"/>
          <c:showVal val="1"/>
          <c:showCatName val="0"/>
          <c:showSerName val="0"/>
          <c:showPercent val="0"/>
          <c:showBubbleSize val="0"/>
        </c:dLbls>
        <c:marker val="1"/>
        <c:smooth val="0"/>
        <c:axId val="781633871"/>
        <c:axId val="781625967"/>
      </c:line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Udział zobowiązań w pasywach ogółem</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1"/>
          <c:order val="0"/>
          <c:tx>
            <c:v>Długoterminowe</c:v>
          </c:tx>
          <c:spPr>
            <a:solidFill>
              <a:schemeClr val="accent6">
                <a:shade val="7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Pasywa!$AF$4:$AH$4</c:f>
              <c:numCache>
                <c:formatCode>General</c:formatCode>
                <c:ptCount val="3"/>
                <c:pt idx="0">
                  <c:v>2021</c:v>
                </c:pt>
                <c:pt idx="1">
                  <c:v>2020</c:v>
                </c:pt>
                <c:pt idx="2">
                  <c:v>2019</c:v>
                </c:pt>
              </c:numCache>
            </c:numRef>
          </c:cat>
          <c:val>
            <c:numRef>
              <c:f>Pasywa!$AF$13:$AH$13</c:f>
              <c:numCache>
                <c:formatCode>0.00%</c:formatCode>
                <c:ptCount val="3"/>
                <c:pt idx="0">
                  <c:v>0.22997311312747445</c:v>
                </c:pt>
                <c:pt idx="1">
                  <c:v>0.20929695320721783</c:v>
                </c:pt>
                <c:pt idx="2">
                  <c:v>0.22706839274414681</c:v>
                </c:pt>
              </c:numCache>
            </c:numRef>
          </c:val>
          <c:extLst>
            <c:ext xmlns:c16="http://schemas.microsoft.com/office/drawing/2014/chart" uri="{C3380CC4-5D6E-409C-BE32-E72D297353CC}">
              <c16:uniqueId val="{00000000-1B4C-FA46-AAF6-90BE750A54FD}"/>
            </c:ext>
          </c:extLst>
        </c:ser>
        <c:ser>
          <c:idx val="0"/>
          <c:order val="1"/>
          <c:tx>
            <c:v>Krótkoterminowe</c:v>
          </c:tx>
          <c:spPr>
            <a:solidFill>
              <a:schemeClr val="accent6">
                <a:tint val="77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Pasywa!$AF$15:$AH$15</c:f>
              <c:numCache>
                <c:formatCode>0.00%</c:formatCode>
                <c:ptCount val="3"/>
                <c:pt idx="0">
                  <c:v>0.23940816024795064</c:v>
                </c:pt>
                <c:pt idx="1">
                  <c:v>0.26576015811494136</c:v>
                </c:pt>
                <c:pt idx="2">
                  <c:v>0.26297853828306267</c:v>
                </c:pt>
              </c:numCache>
            </c:numRef>
          </c:val>
          <c:extLst>
            <c:ext xmlns:c16="http://schemas.microsoft.com/office/drawing/2014/chart" uri="{C3380CC4-5D6E-409C-BE32-E72D297353CC}">
              <c16:uniqueId val="{00000001-1B4C-FA46-AAF6-90BE750A54FD}"/>
            </c:ext>
          </c:extLst>
        </c:ser>
        <c:dLbls>
          <c:dLblPos val="outEnd"/>
          <c:showLegendKey val="0"/>
          <c:showVal val="1"/>
          <c:showCatName val="0"/>
          <c:showSerName val="0"/>
          <c:showPercent val="0"/>
          <c:showBubbleSize val="0"/>
        </c:dLbls>
        <c:gapWidth val="444"/>
        <c:overlap val="-90"/>
        <c:axId val="481663407"/>
        <c:axId val="481663823"/>
      </c:barChart>
      <c:catAx>
        <c:axId val="481663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481663823"/>
        <c:crosses val="autoZero"/>
        <c:auto val="1"/>
        <c:lblAlgn val="ctr"/>
        <c:lblOffset val="100"/>
        <c:noMultiLvlLbl val="0"/>
      </c:catAx>
      <c:valAx>
        <c:axId val="481663823"/>
        <c:scaling>
          <c:orientation val="minMax"/>
        </c:scaling>
        <c:delete val="1"/>
        <c:axPos val="l"/>
        <c:numFmt formatCode="0.00%" sourceLinked="1"/>
        <c:majorTickMark val="none"/>
        <c:minorTickMark val="none"/>
        <c:tickLblPos val="nextTo"/>
        <c:crossAx val="4816634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8.4676297881765838E-2"/>
          <c:y val="0.12248553692338383"/>
          <c:w val="0.89066616920147934"/>
          <c:h val="0.78735698276165555"/>
        </c:manualLayout>
      </c:layout>
      <c:barChart>
        <c:barDir val="col"/>
        <c:grouping val="clustered"/>
        <c:varyColors val="0"/>
        <c:ser>
          <c:idx val="0"/>
          <c:order val="0"/>
          <c:tx>
            <c:v>Aktywa trwałe</c:v>
          </c:tx>
          <c:spPr>
            <a:gradFill rotWithShape="1">
              <a:gsLst>
                <a:gs pos="0">
                  <a:schemeClr val="accent6">
                    <a:tint val="65000"/>
                    <a:lumMod val="110000"/>
                    <a:satMod val="105000"/>
                    <a:tint val="67000"/>
                  </a:schemeClr>
                </a:gs>
                <a:gs pos="50000">
                  <a:schemeClr val="accent6">
                    <a:tint val="65000"/>
                    <a:lumMod val="105000"/>
                    <a:satMod val="103000"/>
                    <a:tint val="73000"/>
                  </a:schemeClr>
                </a:gs>
                <a:gs pos="100000">
                  <a:schemeClr val="accent6">
                    <a:tint val="65000"/>
                    <a:lumMod val="105000"/>
                    <a:satMod val="109000"/>
                    <a:tint val="81000"/>
                  </a:schemeClr>
                </a:gs>
              </a:gsLst>
              <a:lin ang="5400000" scaled="0"/>
            </a:gradFill>
            <a:ln w="9525" cap="flat" cmpd="sng" algn="ctr">
              <a:solidFill>
                <a:schemeClr val="accent6">
                  <a:tint val="65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'Kapitałowo-majątkowa'!$H$2:$J$2</c:f>
              <c:numCache>
                <c:formatCode>General</c:formatCode>
                <c:ptCount val="3"/>
                <c:pt idx="0">
                  <c:v>2021</c:v>
                </c:pt>
                <c:pt idx="1">
                  <c:v>2020</c:v>
                </c:pt>
                <c:pt idx="2">
                  <c:v>2019</c:v>
                </c:pt>
              </c:numCache>
            </c:numRef>
          </c:cat>
          <c:val>
            <c:numRef>
              <c:f>'Kapitałowo-majątkowa'!$H$5:$J$5</c:f>
              <c:numCache>
                <c:formatCode>0</c:formatCode>
                <c:ptCount val="3"/>
                <c:pt idx="0">
                  <c:v>118828</c:v>
                </c:pt>
                <c:pt idx="1">
                  <c:v>116891</c:v>
                </c:pt>
                <c:pt idx="2">
                  <c:v>113267</c:v>
                </c:pt>
              </c:numCache>
            </c:numRef>
          </c:val>
          <c:extLst>
            <c:ext xmlns:c16="http://schemas.microsoft.com/office/drawing/2014/chart" uri="{C3380CC4-5D6E-409C-BE32-E72D297353CC}">
              <c16:uniqueId val="{00000000-B676-1543-B2CF-42F729B1E2DC}"/>
            </c:ext>
          </c:extLst>
        </c:ser>
        <c:ser>
          <c:idx val="1"/>
          <c:order val="1"/>
          <c:tx>
            <c:v>Kapitał stały</c:v>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'Kapitałowo-majątkowa'!$H$2:$J$2</c:f>
              <c:numCache>
                <c:formatCode>General</c:formatCode>
                <c:ptCount val="3"/>
                <c:pt idx="0">
                  <c:v>2021</c:v>
                </c:pt>
                <c:pt idx="1">
                  <c:v>2020</c:v>
                </c:pt>
                <c:pt idx="2">
                  <c:v>2019</c:v>
                </c:pt>
              </c:numCache>
            </c:numRef>
          </c:cat>
          <c:val>
            <c:numRef>
              <c:f>'Kapitałowo-majątkowa'!$N$10:$P$10</c:f>
              <c:numCache>
                <c:formatCode>0</c:formatCode>
                <c:ptCount val="3"/>
                <c:pt idx="0">
                  <c:v>141962</c:v>
                </c:pt>
                <c:pt idx="1">
                  <c:v>117363</c:v>
                </c:pt>
                <c:pt idx="2">
                  <c:v>115065</c:v>
                </c:pt>
              </c:numCache>
            </c:numRef>
          </c:val>
          <c:extLst>
            <c:ext xmlns:c16="http://schemas.microsoft.com/office/drawing/2014/chart" uri="{C3380CC4-5D6E-409C-BE32-E72D297353CC}">
              <c16:uniqueId val="{00000001-B676-1543-B2CF-42F729B1E2DC}"/>
            </c:ext>
          </c:extLst>
        </c:ser>
        <c:ser>
          <c:idx val="2"/>
          <c:order val="2"/>
          <c:tx>
            <c:v>Kapitał obrotowy netto</c:v>
          </c:tx>
          <c:spPr>
            <a:gradFill rotWithShape="1">
              <a:gsLst>
                <a:gs pos="0">
                  <a:schemeClr val="accent6">
                    <a:shade val="65000"/>
                    <a:lumMod val="110000"/>
                    <a:satMod val="105000"/>
                    <a:tint val="67000"/>
                  </a:schemeClr>
                </a:gs>
                <a:gs pos="50000">
                  <a:schemeClr val="accent6">
                    <a:shade val="65000"/>
                    <a:lumMod val="105000"/>
                    <a:satMod val="103000"/>
                    <a:tint val="73000"/>
                  </a:schemeClr>
                </a:gs>
                <a:gs pos="100000">
                  <a:schemeClr val="accent6">
                    <a:shade val="65000"/>
                    <a:lumMod val="105000"/>
                    <a:satMod val="109000"/>
                    <a:tint val="81000"/>
                  </a:schemeClr>
                </a:gs>
              </a:gsLst>
              <a:lin ang="5400000" scaled="0"/>
            </a:gradFill>
            <a:ln w="9525" cap="flat" cmpd="sng" algn="ctr">
              <a:solidFill>
                <a:schemeClr val="accent6">
                  <a:shade val="65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'Kapitałowo-majątkowa'!$H$2:$J$2</c:f>
              <c:numCache>
                <c:formatCode>General</c:formatCode>
                <c:ptCount val="3"/>
                <c:pt idx="0">
                  <c:v>2021</c:v>
                </c:pt>
                <c:pt idx="1">
                  <c:v>2020</c:v>
                </c:pt>
                <c:pt idx="2">
                  <c:v>2019</c:v>
                </c:pt>
              </c:numCache>
            </c:numRef>
          </c:cat>
          <c:val>
            <c:numRef>
              <c:f>'Kapitałowo-majątkowa'!$N$25:$P$25</c:f>
              <c:numCache>
                <c:formatCode>0</c:formatCode>
                <c:ptCount val="3"/>
                <c:pt idx="0">
                  <c:v>23134</c:v>
                </c:pt>
                <c:pt idx="1">
                  <c:v>472</c:v>
                </c:pt>
                <c:pt idx="2">
                  <c:v>1798</c:v>
                </c:pt>
              </c:numCache>
            </c:numRef>
          </c:val>
          <c:extLst>
            <c:ext xmlns:c16="http://schemas.microsoft.com/office/drawing/2014/chart" uri="{C3380CC4-5D6E-409C-BE32-E72D297353CC}">
              <c16:uniqueId val="{00000004-B676-1543-B2CF-42F729B1E2DC}"/>
            </c:ext>
          </c:extLst>
        </c:ser>
        <c:dLbls>
          <c:dLblPos val="outEnd"/>
          <c:showLegendKey val="0"/>
          <c:showVal val="1"/>
          <c:showCatName val="0"/>
          <c:showSerName val="0"/>
          <c:showPercent val="0"/>
          <c:showBubbleSize val="0"/>
        </c:dLbls>
        <c:gapWidth val="100"/>
        <c:overlap val="-24"/>
        <c:axId val="481663407"/>
        <c:axId val="481663823"/>
        <c:extLst/>
      </c:barChart>
      <c:catAx>
        <c:axId val="48166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l-PL"/>
          </a:p>
        </c:txPr>
        <c:crossAx val="481663823"/>
        <c:crosses val="autoZero"/>
        <c:auto val="1"/>
        <c:lblAlgn val="ctr"/>
        <c:lblOffset val="100"/>
        <c:noMultiLvlLbl val="0"/>
      </c:catAx>
      <c:valAx>
        <c:axId val="481663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l-PL"/>
          </a:p>
        </c:txPr>
        <c:crossAx val="4816634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barChart>
        <c:barDir val="col"/>
        <c:grouping val="clustered"/>
        <c:varyColors val="0"/>
        <c:ser>
          <c:idx val="0"/>
          <c:order val="0"/>
          <c:tx>
            <c:v>Wskaźnik pokrycia aktytów stałych kapitałem własnym</c:v>
          </c:tx>
          <c:spPr>
            <a:solidFill>
              <a:schemeClr val="accent6">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'Kapitałowo-majątkowa'!$N$4:$P$4</c:f>
              <c:numCache>
                <c:formatCode>General</c:formatCode>
                <c:ptCount val="3"/>
                <c:pt idx="0">
                  <c:v>2021</c:v>
                </c:pt>
                <c:pt idx="1">
                  <c:v>2020</c:v>
                </c:pt>
                <c:pt idx="2">
                  <c:v>2019</c:v>
                </c:pt>
              </c:numCache>
            </c:numRef>
          </c:cat>
          <c:val>
            <c:numRef>
              <c:f>'Kapitałowo-majątkowa'!$N$5:$P$5</c:f>
              <c:numCache>
                <c:formatCode>0.00%</c:formatCode>
                <c:ptCount val="3"/>
                <c:pt idx="0">
                  <c:v>0.81546436866731742</c:v>
                </c:pt>
                <c:pt idx="1">
                  <c:v>0.69984002190074512</c:v>
                </c:pt>
                <c:pt idx="2">
                  <c:v>0.68304095632443695</c:v>
                </c:pt>
              </c:numCache>
            </c:numRef>
          </c:val>
          <c:extLst>
            <c:ext xmlns:c16="http://schemas.microsoft.com/office/drawing/2014/chart" uri="{C3380CC4-5D6E-409C-BE32-E72D297353CC}">
              <c16:uniqueId val="{00000000-9A12-8445-AF5C-72D6067A1A8E}"/>
            </c:ext>
          </c:extLst>
        </c:ser>
        <c:ser>
          <c:idx val="1"/>
          <c:order val="1"/>
          <c:tx>
            <c:v>Wskaźnik pokrycia aktywów trwałych kapitałem stałym</c:v>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'Kapitałowo-majątkowa'!$N$4:$P$4</c:f>
              <c:numCache>
                <c:formatCode>General</c:formatCode>
                <c:ptCount val="3"/>
                <c:pt idx="0">
                  <c:v>2021</c:v>
                </c:pt>
                <c:pt idx="1">
                  <c:v>2020</c:v>
                </c:pt>
                <c:pt idx="2">
                  <c:v>2019</c:v>
                </c:pt>
              </c:numCache>
            </c:numRef>
          </c:cat>
          <c:val>
            <c:numRef>
              <c:f>'Kapitałowo-majątkowa'!$N$15:$P$15</c:f>
              <c:numCache>
                <c:formatCode>0.00%</c:formatCode>
                <c:ptCount val="3"/>
                <c:pt idx="0">
                  <c:v>1.1946847544349817</c:v>
                </c:pt>
                <c:pt idx="1">
                  <c:v>1.0040379498849354</c:v>
                </c:pt>
                <c:pt idx="2">
                  <c:v>1.0158739968393264</c:v>
                </c:pt>
              </c:numCache>
            </c:numRef>
          </c:val>
          <c:extLst>
            <c:ext xmlns:c16="http://schemas.microsoft.com/office/drawing/2014/chart" uri="{C3380CC4-5D6E-409C-BE32-E72D297353CC}">
              <c16:uniqueId val="{00000001-9A12-8445-AF5C-72D6067A1A8E}"/>
            </c:ext>
          </c:extLst>
        </c:ser>
        <c:ser>
          <c:idx val="2"/>
          <c:order val="2"/>
          <c:tx>
            <c:v>Wskaźnik pokrycia aktywów obrotowych zobowiązaniami krótkoterminowymi</c:v>
          </c:tx>
          <c:spPr>
            <a:solidFill>
              <a:schemeClr val="accent6">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'Kapitałowo-majątkowa'!$N$4:$P$4</c:f>
              <c:numCache>
                <c:formatCode>General</c:formatCode>
                <c:ptCount val="3"/>
                <c:pt idx="0">
                  <c:v>2021</c:v>
                </c:pt>
                <c:pt idx="1">
                  <c:v>2020</c:v>
                </c:pt>
                <c:pt idx="2">
                  <c:v>2019</c:v>
                </c:pt>
              </c:numCache>
            </c:numRef>
          </c:cat>
          <c:val>
            <c:numRef>
              <c:f>'Kapitałowo-majątkowa'!$N$20:$P$20</c:f>
              <c:numCache>
                <c:formatCode>0.00%</c:formatCode>
                <c:ptCount val="3"/>
                <c:pt idx="0">
                  <c:v>0.68538462744360318</c:v>
                </c:pt>
                <c:pt idx="1">
                  <c:v>1.0634227757093337</c:v>
                </c:pt>
                <c:pt idx="2">
                  <c:v>1.0377682403433477</c:v>
                </c:pt>
              </c:numCache>
            </c:numRef>
          </c:val>
          <c:extLst>
            <c:ext xmlns:c16="http://schemas.microsoft.com/office/drawing/2014/chart" uri="{C3380CC4-5D6E-409C-BE32-E72D297353CC}">
              <c16:uniqueId val="{00000002-9A12-8445-AF5C-72D6067A1A8E}"/>
            </c:ext>
          </c:extLst>
        </c:ser>
        <c:dLbls>
          <c:dLblPos val="outEnd"/>
          <c:showLegendKey val="0"/>
          <c:showVal val="1"/>
          <c:showCatName val="0"/>
          <c:showSerName val="0"/>
          <c:showPercent val="0"/>
          <c:showBubbleSize val="0"/>
        </c:dLbls>
        <c:gapWidth val="444"/>
        <c:overlap val="-90"/>
        <c:axId val="481663407"/>
        <c:axId val="481663823"/>
        <c:extLst/>
      </c:barChart>
      <c:catAx>
        <c:axId val="481663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481663823"/>
        <c:crosses val="autoZero"/>
        <c:auto val="1"/>
        <c:lblAlgn val="ctr"/>
        <c:lblOffset val="100"/>
        <c:noMultiLvlLbl val="0"/>
      </c:catAx>
      <c:valAx>
        <c:axId val="481663823"/>
        <c:scaling>
          <c:orientation val="minMax"/>
        </c:scaling>
        <c:delete val="1"/>
        <c:axPos val="l"/>
        <c:numFmt formatCode="0.00%" sourceLinked="1"/>
        <c:majorTickMark val="none"/>
        <c:minorTickMark val="none"/>
        <c:tickLblPos val="nextTo"/>
        <c:crossAx val="4816634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Struktura przychodów</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v>przychody ze sprzedaży</c:v>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 W. rachunku zysków i strat'!$M$3:$O$3</c:f>
              <c:numCache>
                <c:formatCode>General</c:formatCode>
                <c:ptCount val="3"/>
                <c:pt idx="0">
                  <c:v>2021</c:v>
                </c:pt>
                <c:pt idx="1">
                  <c:v>2020</c:v>
                </c:pt>
                <c:pt idx="2">
                  <c:v>2019</c:v>
                </c:pt>
              </c:numCache>
            </c:numRef>
          </c:cat>
          <c:val>
            <c:numRef>
              <c:f>'A. W. rachunku zysków i strat'!$M$5:$O$5</c:f>
              <c:numCache>
                <c:formatCode>0.00%</c:formatCode>
                <c:ptCount val="3"/>
                <c:pt idx="0">
                  <c:v>0.96806935006098627</c:v>
                </c:pt>
                <c:pt idx="1">
                  <c:v>0.9849767838637834</c:v>
                </c:pt>
                <c:pt idx="2">
                  <c:v>0.99166027418815528</c:v>
                </c:pt>
              </c:numCache>
            </c:numRef>
          </c:val>
          <c:extLst>
            <c:ext xmlns:c16="http://schemas.microsoft.com/office/drawing/2014/chart" uri="{C3380CC4-5D6E-409C-BE32-E72D297353CC}">
              <c16:uniqueId val="{00000000-FE68-4812-ADB2-845C44B9F256}"/>
            </c:ext>
          </c:extLst>
        </c:ser>
        <c:ser>
          <c:idx val="1"/>
          <c:order val="1"/>
          <c:tx>
            <c:v>pozostałe przychody operacyjne</c:v>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 W. rachunku zysków i strat'!$M$3:$O$3</c:f>
              <c:numCache>
                <c:formatCode>General</c:formatCode>
                <c:ptCount val="3"/>
                <c:pt idx="0">
                  <c:v>2021</c:v>
                </c:pt>
                <c:pt idx="1">
                  <c:v>2020</c:v>
                </c:pt>
                <c:pt idx="2">
                  <c:v>2019</c:v>
                </c:pt>
              </c:numCache>
            </c:numRef>
          </c:cat>
          <c:val>
            <c:numRef>
              <c:f>'A. W. rachunku zysków i strat'!$M$6:$O$6</c:f>
              <c:numCache>
                <c:formatCode>0.00%</c:formatCode>
                <c:ptCount val="3"/>
                <c:pt idx="0">
                  <c:v>2.6423219575336668E-2</c:v>
                </c:pt>
                <c:pt idx="1">
                  <c:v>1.4118616993868191E-2</c:v>
                </c:pt>
                <c:pt idx="2">
                  <c:v>7.6185231079902707E-3</c:v>
                </c:pt>
              </c:numCache>
            </c:numRef>
          </c:val>
          <c:extLst>
            <c:ext xmlns:c16="http://schemas.microsoft.com/office/drawing/2014/chart" uri="{C3380CC4-5D6E-409C-BE32-E72D297353CC}">
              <c16:uniqueId val="{00000001-FE68-4812-ADB2-845C44B9F256}"/>
            </c:ext>
          </c:extLst>
        </c:ser>
        <c:ser>
          <c:idx val="2"/>
          <c:order val="2"/>
          <c:tx>
            <c:v>przychody finansowe</c:v>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 W. rachunku zysków i strat'!$M$3:$O$3</c:f>
              <c:numCache>
                <c:formatCode>General</c:formatCode>
                <c:ptCount val="3"/>
                <c:pt idx="0">
                  <c:v>2021</c:v>
                </c:pt>
                <c:pt idx="1">
                  <c:v>2020</c:v>
                </c:pt>
                <c:pt idx="2">
                  <c:v>2019</c:v>
                </c:pt>
              </c:numCache>
            </c:numRef>
          </c:cat>
          <c:val>
            <c:numRef>
              <c:f>'A. W. rachunku zysków i strat'!$M$7:$O$7</c:f>
              <c:numCache>
                <c:formatCode>0.00%</c:formatCode>
                <c:ptCount val="3"/>
                <c:pt idx="0">
                  <c:v>5.5074303636770969E-3</c:v>
                </c:pt>
                <c:pt idx="1">
                  <c:v>9.0459914234840809E-4</c:v>
                </c:pt>
                <c:pt idx="2">
                  <c:v>7.2120270385450061E-4</c:v>
                </c:pt>
              </c:numCache>
            </c:numRef>
          </c:val>
          <c:extLst>
            <c:ext xmlns:c16="http://schemas.microsoft.com/office/drawing/2014/chart" uri="{C3380CC4-5D6E-409C-BE32-E72D297353CC}">
              <c16:uniqueId val="{00000002-FE68-4812-ADB2-845C44B9F256}"/>
            </c:ext>
          </c:extLst>
        </c:ser>
        <c:dLbls>
          <c:showLegendKey val="0"/>
          <c:showVal val="1"/>
          <c:showCatName val="0"/>
          <c:showSerName val="0"/>
          <c:showPercent val="0"/>
          <c:showBubbleSize val="0"/>
        </c:dLbls>
        <c:gapWidth val="79"/>
        <c:shape val="box"/>
        <c:axId val="481548591"/>
        <c:axId val="481572303"/>
        <c:axId val="0"/>
      </c:bar3DChart>
      <c:catAx>
        <c:axId val="48154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481572303"/>
        <c:crosses val="autoZero"/>
        <c:auto val="1"/>
        <c:lblAlgn val="ctr"/>
        <c:lblOffset val="100"/>
        <c:noMultiLvlLbl val="0"/>
      </c:catAx>
      <c:valAx>
        <c:axId val="481572303"/>
        <c:scaling>
          <c:orientation val="minMax"/>
        </c:scaling>
        <c:delete val="1"/>
        <c:axPos val="b"/>
        <c:numFmt formatCode="0%" sourceLinked="1"/>
        <c:majorTickMark val="none"/>
        <c:minorTickMark val="none"/>
        <c:tickLblPos val="nextTo"/>
        <c:crossAx val="481548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pl-PL"/>
              <a:t>S</a:t>
            </a:r>
            <a:r>
              <a:rPr lang="en-US"/>
              <a:t>truktura kosztó</a:t>
            </a:r>
            <a:r>
              <a:rPr lang="pl-PL"/>
              <a:t>w</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koszt sprzedanych produktów, materiałów i towarów</c:v>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 W. rachunku zysków i strat'!$M$16:$O$16</c:f>
              <c:numCache>
                <c:formatCode>General</c:formatCode>
                <c:ptCount val="3"/>
                <c:pt idx="0">
                  <c:v>2021</c:v>
                </c:pt>
                <c:pt idx="1">
                  <c:v>2020</c:v>
                </c:pt>
                <c:pt idx="2">
                  <c:v>2019</c:v>
                </c:pt>
              </c:numCache>
            </c:numRef>
          </c:cat>
          <c:val>
            <c:numRef>
              <c:f>'A. W. rachunku zysków i strat'!$M$18:$O$18</c:f>
              <c:numCache>
                <c:formatCode>0.00%</c:formatCode>
                <c:ptCount val="3"/>
                <c:pt idx="0">
                  <c:v>0.83551592588500612</c:v>
                </c:pt>
                <c:pt idx="1">
                  <c:v>0.83673889359641684</c:v>
                </c:pt>
                <c:pt idx="2">
                  <c:v>0.81737916931494736</c:v>
                </c:pt>
              </c:numCache>
            </c:numRef>
          </c:val>
          <c:extLst>
            <c:ext xmlns:c16="http://schemas.microsoft.com/office/drawing/2014/chart" uri="{C3380CC4-5D6E-409C-BE32-E72D297353CC}">
              <c16:uniqueId val="{00000000-EF10-4E1C-871F-CE3D9F57DB6C}"/>
            </c:ext>
          </c:extLst>
        </c:ser>
        <c:ser>
          <c:idx val="1"/>
          <c:order val="1"/>
          <c:tx>
            <c:v>koszt sprzedaży</c:v>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 W. rachunku zysków i strat'!$M$16:$O$16</c:f>
              <c:numCache>
                <c:formatCode>General</c:formatCode>
                <c:ptCount val="3"/>
                <c:pt idx="0">
                  <c:v>2021</c:v>
                </c:pt>
                <c:pt idx="1">
                  <c:v>2020</c:v>
                </c:pt>
                <c:pt idx="2">
                  <c:v>2019</c:v>
                </c:pt>
              </c:numCache>
            </c:numRef>
          </c:cat>
          <c:val>
            <c:numRef>
              <c:f>'A. W. rachunku zysków i strat'!$M$19:$O$19</c:f>
              <c:numCache>
                <c:formatCode>0.00%</c:formatCode>
                <c:ptCount val="3"/>
                <c:pt idx="0">
                  <c:v>0.12638673157036179</c:v>
                </c:pt>
                <c:pt idx="1">
                  <c:v>0.12405277811402977</c:v>
                </c:pt>
                <c:pt idx="2">
                  <c:v>0.13925581009754884</c:v>
                </c:pt>
              </c:numCache>
            </c:numRef>
          </c:val>
          <c:extLst>
            <c:ext xmlns:c16="http://schemas.microsoft.com/office/drawing/2014/chart" uri="{C3380CC4-5D6E-409C-BE32-E72D297353CC}">
              <c16:uniqueId val="{00000001-EF10-4E1C-871F-CE3D9F57DB6C}"/>
            </c:ext>
          </c:extLst>
        </c:ser>
        <c:ser>
          <c:idx val="2"/>
          <c:order val="2"/>
          <c:tx>
            <c:v>koszt ogólnego zarządu</c:v>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 W. rachunku zysków i strat'!$M$16:$O$16</c:f>
              <c:numCache>
                <c:formatCode>General</c:formatCode>
                <c:ptCount val="3"/>
                <c:pt idx="0">
                  <c:v>2021</c:v>
                </c:pt>
                <c:pt idx="1">
                  <c:v>2020</c:v>
                </c:pt>
                <c:pt idx="2">
                  <c:v>2019</c:v>
                </c:pt>
              </c:numCache>
            </c:numRef>
          </c:cat>
          <c:val>
            <c:numRef>
              <c:f>'A. W. rachunku zysków i strat'!$M$20:$O$20</c:f>
              <c:numCache>
                <c:formatCode>0.00%</c:formatCode>
                <c:ptCount val="3"/>
                <c:pt idx="0">
                  <c:v>3.2599159024884805E-2</c:v>
                </c:pt>
                <c:pt idx="1">
                  <c:v>3.0202154702820481E-2</c:v>
                </c:pt>
                <c:pt idx="2">
                  <c:v>3.5489264100367533E-2</c:v>
                </c:pt>
              </c:numCache>
            </c:numRef>
          </c:val>
          <c:extLst>
            <c:ext xmlns:c16="http://schemas.microsoft.com/office/drawing/2014/chart" uri="{C3380CC4-5D6E-409C-BE32-E72D297353CC}">
              <c16:uniqueId val="{00000002-EF10-4E1C-871F-CE3D9F57DB6C}"/>
            </c:ext>
          </c:extLst>
        </c:ser>
        <c:ser>
          <c:idx val="3"/>
          <c:order val="3"/>
          <c:tx>
            <c:v>koszty finansowe</c:v>
          </c:tx>
          <c:spPr>
            <a:gradFill flip="none" rotWithShape="1">
              <a:gsLst>
                <a:gs pos="0">
                  <a:schemeClr val="accent6">
                    <a:lumMod val="60000"/>
                  </a:schemeClr>
                </a:gs>
                <a:gs pos="75000">
                  <a:schemeClr val="accent6">
                    <a:lumMod val="60000"/>
                    <a:lumMod val="60000"/>
                    <a:lumOff val="40000"/>
                  </a:schemeClr>
                </a:gs>
                <a:gs pos="51000">
                  <a:schemeClr val="accent6">
                    <a:lumMod val="60000"/>
                    <a:alpha val="75000"/>
                  </a:schemeClr>
                </a:gs>
                <a:gs pos="100000">
                  <a:schemeClr val="accent6">
                    <a:lumMod val="60000"/>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 W. rachunku zysków i strat'!$M$16:$O$16</c:f>
              <c:numCache>
                <c:formatCode>General</c:formatCode>
                <c:ptCount val="3"/>
                <c:pt idx="0">
                  <c:v>2021</c:v>
                </c:pt>
                <c:pt idx="1">
                  <c:v>2020</c:v>
                </c:pt>
                <c:pt idx="2">
                  <c:v>2019</c:v>
                </c:pt>
              </c:numCache>
            </c:numRef>
          </c:cat>
          <c:val>
            <c:numRef>
              <c:f>'A. W. rachunku zysków i strat'!$M$21:$O$21</c:f>
              <c:numCache>
                <c:formatCode>0.00%</c:formatCode>
                <c:ptCount val="3"/>
                <c:pt idx="0">
                  <c:v>5.4981835197473175E-3</c:v>
                </c:pt>
                <c:pt idx="1">
                  <c:v>9.0061735867328404E-3</c:v>
                </c:pt>
                <c:pt idx="2">
                  <c:v>7.8757564871362647E-3</c:v>
                </c:pt>
              </c:numCache>
            </c:numRef>
          </c:val>
          <c:extLst>
            <c:ext xmlns:c16="http://schemas.microsoft.com/office/drawing/2014/chart" uri="{C3380CC4-5D6E-409C-BE32-E72D297353CC}">
              <c16:uniqueId val="{00000003-EF10-4E1C-871F-CE3D9F57DB6C}"/>
            </c:ext>
          </c:extLst>
        </c:ser>
        <c:dLbls>
          <c:dLblPos val="outEnd"/>
          <c:showLegendKey val="0"/>
          <c:showVal val="1"/>
          <c:showCatName val="0"/>
          <c:showSerName val="0"/>
          <c:showPercent val="0"/>
          <c:showBubbleSize val="0"/>
        </c:dLbls>
        <c:gapWidth val="326"/>
        <c:overlap val="-58"/>
        <c:axId val="836727039"/>
        <c:axId val="836724543"/>
      </c:barChart>
      <c:catAx>
        <c:axId val="83672703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836724543"/>
        <c:crosses val="autoZero"/>
        <c:auto val="1"/>
        <c:lblAlgn val="ctr"/>
        <c:lblOffset val="100"/>
        <c:noMultiLvlLbl val="0"/>
      </c:catAx>
      <c:valAx>
        <c:axId val="83672454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836727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struktura zysków</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barChart>
        <c:barDir val="bar"/>
        <c:grouping val="percentStacked"/>
        <c:varyColors val="0"/>
        <c:ser>
          <c:idx val="0"/>
          <c:order val="0"/>
          <c:tx>
            <c:v>zysk brutto ze sprzedaży</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 W. rachunku zysków i strat'!$M$16:$O$16</c:f>
              <c:numCache>
                <c:formatCode>General</c:formatCode>
                <c:ptCount val="3"/>
                <c:pt idx="0">
                  <c:v>2021</c:v>
                </c:pt>
                <c:pt idx="1">
                  <c:v>2020</c:v>
                </c:pt>
                <c:pt idx="2">
                  <c:v>2019</c:v>
                </c:pt>
              </c:numCache>
            </c:numRef>
          </c:cat>
          <c:val>
            <c:numRef>
              <c:f>'A. W. rachunku zysków i strat'!$M$32:$O$32</c:f>
              <c:numCache>
                <c:formatCode>0.00%</c:formatCode>
                <c:ptCount val="3"/>
                <c:pt idx="0">
                  <c:v>0.69165940878118759</c:v>
                </c:pt>
                <c:pt idx="1">
                  <c:v>0.6466940962587312</c:v>
                </c:pt>
                <c:pt idx="2">
                  <c:v>0.6856875195170189</c:v>
                </c:pt>
              </c:numCache>
            </c:numRef>
          </c:val>
          <c:extLst>
            <c:ext xmlns:c16="http://schemas.microsoft.com/office/drawing/2014/chart" uri="{C3380CC4-5D6E-409C-BE32-E72D297353CC}">
              <c16:uniqueId val="{00000000-300F-4D8A-8E79-D8136F7455CF}"/>
            </c:ext>
          </c:extLst>
        </c:ser>
        <c:ser>
          <c:idx val="1"/>
          <c:order val="1"/>
          <c:tx>
            <c:v>zysk z działalności kontynuowanej</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 W. rachunku zysków i strat'!$M$16:$O$16</c:f>
              <c:numCache>
                <c:formatCode>General</c:formatCode>
                <c:ptCount val="3"/>
                <c:pt idx="0">
                  <c:v>2021</c:v>
                </c:pt>
                <c:pt idx="1">
                  <c:v>2020</c:v>
                </c:pt>
                <c:pt idx="2">
                  <c:v>2019</c:v>
                </c:pt>
              </c:numCache>
            </c:numRef>
          </c:cat>
          <c:val>
            <c:numRef>
              <c:f>'A. W. rachunku zysków i strat'!$M$33:$O$33</c:f>
              <c:numCache>
                <c:formatCode>0.00%</c:formatCode>
                <c:ptCount val="3"/>
                <c:pt idx="0">
                  <c:v>0.15367078231466777</c:v>
                </c:pt>
                <c:pt idx="1">
                  <c:v>0.18937900679360828</c:v>
                </c:pt>
                <c:pt idx="2">
                  <c:v>0.16787758925783283</c:v>
                </c:pt>
              </c:numCache>
            </c:numRef>
          </c:val>
          <c:extLst>
            <c:ext xmlns:c16="http://schemas.microsoft.com/office/drawing/2014/chart" uri="{C3380CC4-5D6E-409C-BE32-E72D297353CC}">
              <c16:uniqueId val="{00000001-300F-4D8A-8E79-D8136F7455CF}"/>
            </c:ext>
          </c:extLst>
        </c:ser>
        <c:ser>
          <c:idx val="2"/>
          <c:order val="2"/>
          <c:tx>
            <c:v>zysk brutto</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 W. rachunku zysków i strat'!$M$16:$O$16</c:f>
              <c:numCache>
                <c:formatCode>General</c:formatCode>
                <c:ptCount val="3"/>
                <c:pt idx="0">
                  <c:v>2021</c:v>
                </c:pt>
                <c:pt idx="1">
                  <c:v>2020</c:v>
                </c:pt>
                <c:pt idx="2">
                  <c:v>2019</c:v>
                </c:pt>
              </c:numCache>
            </c:numRef>
          </c:cat>
          <c:val>
            <c:numRef>
              <c:f>'A. W. rachunku zysków i strat'!$M$34:$O$34</c:f>
              <c:numCache>
                <c:formatCode>0.00%</c:formatCode>
                <c:ptCount val="3"/>
                <c:pt idx="0">
                  <c:v>0.15466980890414467</c:v>
                </c:pt>
                <c:pt idx="1">
                  <c:v>0.16392689694766052</c:v>
                </c:pt>
                <c:pt idx="2">
                  <c:v>0.14643489122514833</c:v>
                </c:pt>
              </c:numCache>
            </c:numRef>
          </c:val>
          <c:extLst>
            <c:ext xmlns:c16="http://schemas.microsoft.com/office/drawing/2014/chart" uri="{C3380CC4-5D6E-409C-BE32-E72D297353CC}">
              <c16:uniqueId val="{00000002-300F-4D8A-8E79-D8136F7455CF}"/>
            </c:ext>
          </c:extLst>
        </c:ser>
        <c:dLbls>
          <c:dLblPos val="ctr"/>
          <c:showLegendKey val="0"/>
          <c:showVal val="1"/>
          <c:showCatName val="0"/>
          <c:showSerName val="0"/>
          <c:showPercent val="0"/>
          <c:showBubbleSize val="0"/>
        </c:dLbls>
        <c:gapWidth val="79"/>
        <c:overlap val="100"/>
        <c:axId val="83958175"/>
        <c:axId val="83949855"/>
      </c:barChart>
      <c:catAx>
        <c:axId val="8395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83949855"/>
        <c:crosses val="autoZero"/>
        <c:auto val="1"/>
        <c:lblAlgn val="ctr"/>
        <c:lblOffset val="100"/>
        <c:noMultiLvlLbl val="0"/>
      </c:catAx>
      <c:valAx>
        <c:axId val="83949855"/>
        <c:scaling>
          <c:orientation val="minMax"/>
        </c:scaling>
        <c:delete val="1"/>
        <c:axPos val="b"/>
        <c:numFmt formatCode="0%" sourceLinked="1"/>
        <c:majorTickMark val="none"/>
        <c:minorTickMark val="none"/>
        <c:tickLblPos val="nextTo"/>
        <c:crossAx val="839581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Dynamika przychodów</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pl-PL"/>
        </a:p>
      </c:txPr>
    </c:title>
    <c:autoTitleDeleted val="0"/>
    <c:plotArea>
      <c:layout/>
      <c:lineChart>
        <c:grouping val="standard"/>
        <c:varyColors val="0"/>
        <c:ser>
          <c:idx val="0"/>
          <c:order val="0"/>
          <c:tx>
            <c:v>przychody netto ze spzedaży</c:v>
          </c:tx>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s>
            <c:dLbl>
              <c:idx val="0"/>
              <c:layout>
                <c:manualLayout>
                  <c:x val="-0.10156639572492036"/>
                  <c:y val="-3.557153940738375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46A-489D-BAC6-843E9AF35F4C}"/>
                </c:ext>
              </c:extLst>
            </c:dLbl>
            <c:dLbl>
              <c:idx val="1"/>
              <c:layout>
                <c:manualLayout>
                  <c:x val="-2.4967197970700104E-2"/>
                  <c:y val="1.42286157629533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6A-489D-BAC6-843E9AF35F4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 W. rachunku zysków i strat'!$M$10:$N$10</c:f>
              <c:strCache>
                <c:ptCount val="2"/>
                <c:pt idx="0">
                  <c:v>2021/2020</c:v>
                </c:pt>
                <c:pt idx="1">
                  <c:v>2020/2019</c:v>
                </c:pt>
              </c:strCache>
            </c:strRef>
          </c:cat>
          <c:val>
            <c:numRef>
              <c:f>'A. W. rachunku zysków i strat'!$M$11:$N$11</c:f>
              <c:numCache>
                <c:formatCode>0.00%</c:formatCode>
                <c:ptCount val="2"/>
                <c:pt idx="0">
                  <c:v>0.98283468800505724</c:v>
                </c:pt>
                <c:pt idx="1">
                  <c:v>0.99326030244597274</c:v>
                </c:pt>
              </c:numCache>
            </c:numRef>
          </c:val>
          <c:smooth val="0"/>
          <c:extLst>
            <c:ext xmlns:c16="http://schemas.microsoft.com/office/drawing/2014/chart" uri="{C3380CC4-5D6E-409C-BE32-E72D297353CC}">
              <c16:uniqueId val="{00000000-646A-489D-BAC6-843E9AF35F4C}"/>
            </c:ext>
          </c:extLst>
        </c:ser>
        <c:ser>
          <c:idx val="1"/>
          <c:order val="1"/>
          <c:tx>
            <c:v>pozostało przychody operacyjne</c:v>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dLbl>
              <c:idx val="0"/>
              <c:layout>
                <c:manualLayout>
                  <c:x val="-0.1042163139174988"/>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46A-489D-BAC6-843E9AF35F4C}"/>
                </c:ext>
              </c:extLst>
            </c:dLbl>
            <c:dLbl>
              <c:idx val="1"/>
              <c:layout>
                <c:manualLayout>
                  <c:x val="-1.3125376047615066E-2"/>
                  <c:y val="-1.42286157629536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6A-489D-BAC6-843E9AF35F4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 W. rachunku zysków i strat'!$M$10:$N$10</c:f>
              <c:strCache>
                <c:ptCount val="2"/>
                <c:pt idx="0">
                  <c:v>2021/2020</c:v>
                </c:pt>
                <c:pt idx="1">
                  <c:v>2020/2019</c:v>
                </c:pt>
              </c:strCache>
            </c:strRef>
          </c:cat>
          <c:val>
            <c:numRef>
              <c:f>'A. W. rachunku zysków i strat'!$M$12:$N$12</c:f>
              <c:numCache>
                <c:formatCode>0.00%</c:formatCode>
                <c:ptCount val="2"/>
                <c:pt idx="0">
                  <c:v>1.8715161397757618</c:v>
                </c:pt>
                <c:pt idx="1">
                  <c:v>1.8531960583096025</c:v>
                </c:pt>
              </c:numCache>
            </c:numRef>
          </c:val>
          <c:smooth val="0"/>
          <c:extLst>
            <c:ext xmlns:c16="http://schemas.microsoft.com/office/drawing/2014/chart" uri="{C3380CC4-5D6E-409C-BE32-E72D297353CC}">
              <c16:uniqueId val="{00000001-646A-489D-BAC6-843E9AF35F4C}"/>
            </c:ext>
          </c:extLst>
        </c:ser>
        <c:ser>
          <c:idx val="2"/>
          <c:order val="2"/>
          <c:tx>
            <c:v>przychody finansowe</c:v>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dLbl>
              <c:idx val="1"/>
              <c:layout>
                <c:manualLayout>
                  <c:x val="-3.3827861927134099E-2"/>
                  <c:y val="-1.06714618222152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6A-489D-BAC6-843E9AF35F4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 W. rachunku zysków i strat'!$M$10:$N$10</c:f>
              <c:strCache>
                <c:ptCount val="2"/>
                <c:pt idx="0">
                  <c:v>2021/2020</c:v>
                </c:pt>
                <c:pt idx="1">
                  <c:v>2020/2019</c:v>
                </c:pt>
              </c:strCache>
            </c:strRef>
          </c:cat>
          <c:val>
            <c:numRef>
              <c:f>'A. W. rachunku zysków i strat'!$M$13:$N$13</c:f>
              <c:numCache>
                <c:formatCode>0.00%</c:formatCode>
                <c:ptCount val="2"/>
                <c:pt idx="0">
                  <c:v>6.0882551241198275</c:v>
                </c:pt>
                <c:pt idx="1">
                  <c:v>1.2542924998946023</c:v>
                </c:pt>
              </c:numCache>
            </c:numRef>
          </c:val>
          <c:smooth val="0"/>
          <c:extLst>
            <c:ext xmlns:c16="http://schemas.microsoft.com/office/drawing/2014/chart" uri="{C3380CC4-5D6E-409C-BE32-E72D297353CC}">
              <c16:uniqueId val="{00000002-646A-489D-BAC6-843E9AF35F4C}"/>
            </c:ext>
          </c:extLst>
        </c:ser>
        <c:dLbls>
          <c:dLblPos val="ctr"/>
          <c:showLegendKey val="0"/>
          <c:showVal val="1"/>
          <c:showCatName val="0"/>
          <c:showSerName val="0"/>
          <c:showPercent val="0"/>
          <c:showBubbleSize val="0"/>
        </c:dLbls>
        <c:marker val="1"/>
        <c:smooth val="0"/>
        <c:axId val="643164943"/>
        <c:axId val="643162863"/>
      </c:lineChart>
      <c:catAx>
        <c:axId val="64316494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pl-PL"/>
          </a:p>
        </c:txPr>
        <c:crossAx val="643162863"/>
        <c:crosses val="autoZero"/>
        <c:auto val="1"/>
        <c:lblAlgn val="ctr"/>
        <c:lblOffset val="100"/>
        <c:noMultiLvlLbl val="0"/>
      </c:catAx>
      <c:valAx>
        <c:axId val="643162863"/>
        <c:scaling>
          <c:orientation val="minMax"/>
        </c:scaling>
        <c:delete val="1"/>
        <c:axPos val="l"/>
        <c:numFmt formatCode="0.00%" sourceLinked="1"/>
        <c:majorTickMark val="none"/>
        <c:minorTickMark val="none"/>
        <c:tickLblPos val="nextTo"/>
        <c:crossAx val="643164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DYNAMIKA KOSZTÓW</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pl-PL"/>
        </a:p>
      </c:txPr>
    </c:title>
    <c:autoTitleDeleted val="0"/>
    <c:plotArea>
      <c:layout/>
      <c:lineChart>
        <c:grouping val="standard"/>
        <c:varyColors val="0"/>
        <c:ser>
          <c:idx val="0"/>
          <c:order val="0"/>
          <c:tx>
            <c:v>koszty sprzedanych produktów, towarów i materiałów</c:v>
          </c:tx>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s>
            <c:dLbl>
              <c:idx val="0"/>
              <c:layout>
                <c:manualLayout>
                  <c:x val="-6.0614672197295563E-2"/>
                  <c:y val="3.1191592515000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068-449E-8556-0C7949DB013D}"/>
                </c:ext>
              </c:extLst>
            </c:dLbl>
            <c:dLbl>
              <c:idx val="1"/>
              <c:layout>
                <c:manualLayout>
                  <c:x val="-3.2638669644697596E-2"/>
                  <c:y val="-3.176884760217288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068-449E-8556-0C7949DB013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 W. rachunku zysków i strat'!$M$24:$N$24</c:f>
              <c:strCache>
                <c:ptCount val="2"/>
                <c:pt idx="0">
                  <c:v>2021/2020</c:v>
                </c:pt>
                <c:pt idx="1">
                  <c:v>2020/2019</c:v>
                </c:pt>
              </c:strCache>
            </c:strRef>
          </c:cat>
          <c:val>
            <c:numRef>
              <c:f>'A. W. rachunku zysków i strat'!$M$25:$N$25</c:f>
              <c:numCache>
                <c:formatCode>0.00%</c:formatCode>
                <c:ptCount val="2"/>
                <c:pt idx="0">
                  <c:v>0.99853841177842917</c:v>
                </c:pt>
                <c:pt idx="1">
                  <c:v>1.0236851206982618</c:v>
                </c:pt>
              </c:numCache>
            </c:numRef>
          </c:val>
          <c:smooth val="0"/>
          <c:extLst>
            <c:ext xmlns:c16="http://schemas.microsoft.com/office/drawing/2014/chart" uri="{C3380CC4-5D6E-409C-BE32-E72D297353CC}">
              <c16:uniqueId val="{00000000-0068-449E-8556-0C7949DB013D}"/>
            </c:ext>
          </c:extLst>
        </c:ser>
        <c:ser>
          <c:idx val="1"/>
          <c:order val="1"/>
          <c:tx>
            <c:v>koszty sprzedaży</c:v>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dLbl>
              <c:idx val="0"/>
              <c:layout>
                <c:manualLayout>
                  <c:x val="-0.12518015391537782"/>
                  <c:y val="-1.38629300066667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068-449E-8556-0C7949DB013D}"/>
                </c:ext>
              </c:extLst>
            </c:dLbl>
            <c:dLbl>
              <c:idx val="1"/>
              <c:layout>
                <c:manualLayout>
                  <c:x val="-2.8581081488214054E-2"/>
                  <c:y val="-6.3537695204345766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068-449E-8556-0C7949DB013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 W. rachunku zysków i strat'!$M$24:$N$24</c:f>
              <c:strCache>
                <c:ptCount val="2"/>
                <c:pt idx="0">
                  <c:v>2021/2020</c:v>
                </c:pt>
                <c:pt idx="1">
                  <c:v>2020/2019</c:v>
                </c:pt>
              </c:strCache>
            </c:strRef>
          </c:cat>
          <c:val>
            <c:numRef>
              <c:f>'A. W. rachunku zysków i strat'!$M$26:$N$26</c:f>
              <c:numCache>
                <c:formatCode>0.00%</c:formatCode>
                <c:ptCount val="2"/>
                <c:pt idx="0">
                  <c:v>1.0188141974070637</c:v>
                </c:pt>
                <c:pt idx="1">
                  <c:v>0.89082658760974265</c:v>
                </c:pt>
              </c:numCache>
            </c:numRef>
          </c:val>
          <c:smooth val="0"/>
          <c:extLst>
            <c:ext xmlns:c16="http://schemas.microsoft.com/office/drawing/2014/chart" uri="{C3380CC4-5D6E-409C-BE32-E72D297353CC}">
              <c16:uniqueId val="{00000001-0068-449E-8556-0C7949DB013D}"/>
            </c:ext>
          </c:extLst>
        </c:ser>
        <c:ser>
          <c:idx val="2"/>
          <c:order val="2"/>
          <c:tx>
            <c:v>koszty ogólnego zarządu</c:v>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dLbl>
              <c:idx val="0"/>
              <c:layout>
                <c:manualLayout>
                  <c:x val="-7.7129767851755418E-2"/>
                  <c:y val="-3.81230575183336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068-449E-8556-0C7949DB013D}"/>
                </c:ext>
              </c:extLst>
            </c:dLbl>
            <c:dLbl>
              <c:idx val="1"/>
              <c:layout>
                <c:manualLayout>
                  <c:x val="-4.9936808627601657E-2"/>
                  <c:y val="4.8520255023333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068-449E-8556-0C7949DB013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 W. rachunku zysków i strat'!$M$24:$N$24</c:f>
              <c:strCache>
                <c:ptCount val="2"/>
                <c:pt idx="0">
                  <c:v>2021/2020</c:v>
                </c:pt>
                <c:pt idx="1">
                  <c:v>2020/2019</c:v>
                </c:pt>
              </c:strCache>
            </c:strRef>
          </c:cat>
          <c:val>
            <c:numRef>
              <c:f>'A. W. rachunku zysków i strat'!$M$27:$N$27</c:f>
              <c:numCache>
                <c:formatCode>0.00%</c:formatCode>
                <c:ptCount val="2"/>
                <c:pt idx="0">
                  <c:v>1.079365341501296</c:v>
                </c:pt>
                <c:pt idx="1">
                  <c:v>0.85102228711774563</c:v>
                </c:pt>
              </c:numCache>
            </c:numRef>
          </c:val>
          <c:smooth val="0"/>
          <c:extLst>
            <c:ext xmlns:c16="http://schemas.microsoft.com/office/drawing/2014/chart" uri="{C3380CC4-5D6E-409C-BE32-E72D297353CC}">
              <c16:uniqueId val="{00000002-0068-449E-8556-0C7949DB013D}"/>
            </c:ext>
          </c:extLst>
        </c:ser>
        <c:ser>
          <c:idx val="3"/>
          <c:order val="3"/>
          <c:tx>
            <c:v>koszty finansowe</c:v>
          </c:tx>
          <c:spPr>
            <a:ln w="19050" cap="rnd" cmpd="sng" algn="ctr">
              <a:solidFill>
                <a:schemeClr val="accent6">
                  <a:lumMod val="60000"/>
                  <a:shade val="95000"/>
                  <a:satMod val="105000"/>
                </a:schemeClr>
              </a:solidFill>
              <a:round/>
            </a:ln>
            <a:effectLst/>
          </c:spPr>
          <c:marker>
            <c:symbol val="circle"/>
            <c:size val="17"/>
            <c:spPr>
              <a:solidFill>
                <a:schemeClr val="lt1"/>
              </a:solidFill>
              <a:ln>
                <a:noFill/>
              </a:ln>
              <a:effectLst/>
            </c:spPr>
          </c:marker>
          <c:dLbls>
            <c:dLbl>
              <c:idx val="0"/>
              <c:layout>
                <c:manualLayout>
                  <c:x val="-6.0614672197295563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068-449E-8556-0C7949DB013D}"/>
                </c:ext>
              </c:extLst>
            </c:dLbl>
            <c:dLbl>
              <c:idx val="1"/>
              <c:layout>
                <c:manualLayout>
                  <c:x val="-5.3994396784085331E-2"/>
                  <c:y val="-2.0794395010000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068-449E-8556-0C7949DB013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60000"/>
                      </a:schemeClr>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 W. rachunku zysków i strat'!$M$24:$N$24</c:f>
              <c:strCache>
                <c:ptCount val="2"/>
                <c:pt idx="0">
                  <c:v>2021/2020</c:v>
                </c:pt>
                <c:pt idx="1">
                  <c:v>2020/2019</c:v>
                </c:pt>
              </c:strCache>
            </c:strRef>
          </c:cat>
          <c:val>
            <c:numRef>
              <c:f>'A. W. rachunku zysków i strat'!$M$28:$N$28</c:f>
              <c:numCache>
                <c:formatCode>0.00%</c:formatCode>
                <c:ptCount val="2"/>
                <c:pt idx="0">
                  <c:v>0.6104905115138789</c:v>
                </c:pt>
                <c:pt idx="1">
                  <c:v>1.1435312406424607</c:v>
                </c:pt>
              </c:numCache>
            </c:numRef>
          </c:val>
          <c:smooth val="0"/>
          <c:extLst>
            <c:ext xmlns:c16="http://schemas.microsoft.com/office/drawing/2014/chart" uri="{C3380CC4-5D6E-409C-BE32-E72D297353CC}">
              <c16:uniqueId val="{00000003-0068-449E-8556-0C7949DB013D}"/>
            </c:ext>
          </c:extLst>
        </c:ser>
        <c:dLbls>
          <c:dLblPos val="ctr"/>
          <c:showLegendKey val="0"/>
          <c:showVal val="1"/>
          <c:showCatName val="0"/>
          <c:showSerName val="0"/>
          <c:showPercent val="0"/>
          <c:showBubbleSize val="0"/>
        </c:dLbls>
        <c:marker val="1"/>
        <c:smooth val="0"/>
        <c:axId val="832755471"/>
        <c:axId val="832760047"/>
      </c:lineChart>
      <c:catAx>
        <c:axId val="8327554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pl-PL"/>
          </a:p>
        </c:txPr>
        <c:crossAx val="832760047"/>
        <c:crosses val="autoZero"/>
        <c:auto val="1"/>
        <c:lblAlgn val="ctr"/>
        <c:lblOffset val="100"/>
        <c:noMultiLvlLbl val="0"/>
      </c:catAx>
      <c:valAx>
        <c:axId val="832760047"/>
        <c:scaling>
          <c:orientation val="minMax"/>
        </c:scaling>
        <c:delete val="1"/>
        <c:axPos val="l"/>
        <c:numFmt formatCode="0.00%" sourceLinked="1"/>
        <c:majorTickMark val="none"/>
        <c:minorTickMark val="none"/>
        <c:tickLblPos val="nextTo"/>
        <c:crossAx val="832755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dynamika zysków</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pl-PL"/>
        </a:p>
      </c:txPr>
    </c:title>
    <c:autoTitleDeleted val="0"/>
    <c:plotArea>
      <c:layout/>
      <c:lineChart>
        <c:grouping val="standard"/>
        <c:varyColors val="0"/>
        <c:ser>
          <c:idx val="0"/>
          <c:order val="0"/>
          <c:tx>
            <c:v>zysk brutto ze sprzedaży</c:v>
          </c:tx>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s>
            <c:dLbl>
              <c:idx val="0"/>
              <c:layout>
                <c:manualLayout>
                  <c:x val="-8.1976924863098571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6FD-48BA-87A6-9128361FFEAE}"/>
                </c:ext>
              </c:extLst>
            </c:dLbl>
            <c:dLbl>
              <c:idx val="1"/>
              <c:layout>
                <c:manualLayout>
                  <c:x val="-4.7869995399124871E-2"/>
                  <c:y val="4.92120581167281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FD-48BA-87A6-9128361FFEA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 W. rachunku zysków i strat'!$M$37:$N$37</c:f>
              <c:strCache>
                <c:ptCount val="2"/>
                <c:pt idx="0">
                  <c:v>2021/2020</c:v>
                </c:pt>
                <c:pt idx="1">
                  <c:v>2020/2019</c:v>
                </c:pt>
              </c:strCache>
            </c:strRef>
          </c:cat>
          <c:val>
            <c:numRef>
              <c:f>'A. W. rachunku zysków i strat'!$M$38:$N$38</c:f>
              <c:numCache>
                <c:formatCode>0.00%</c:formatCode>
                <c:ptCount val="2"/>
                <c:pt idx="0">
                  <c:v>1.0695310391460053</c:v>
                </c:pt>
                <c:pt idx="1">
                  <c:v>0.94313237130850258</c:v>
                </c:pt>
              </c:numCache>
            </c:numRef>
          </c:val>
          <c:smooth val="0"/>
          <c:extLst>
            <c:ext xmlns:c16="http://schemas.microsoft.com/office/drawing/2014/chart" uri="{C3380CC4-5D6E-409C-BE32-E72D297353CC}">
              <c16:uniqueId val="{00000000-46FD-48BA-87A6-9128361FFEAE}"/>
            </c:ext>
          </c:extLst>
        </c:ser>
        <c:ser>
          <c:idx val="1"/>
          <c:order val="1"/>
          <c:tx>
            <c:v>zysk z działalności kontynuowanej</c:v>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dLbl>
              <c:idx val="0"/>
              <c:layout>
                <c:manualLayout>
                  <c:x val="-7.0867406344750306E-2"/>
                  <c:y val="2.050502421530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FD-48BA-87A6-9128361FFEAE}"/>
                </c:ext>
              </c:extLst>
            </c:dLbl>
            <c:dLbl>
              <c:idx val="1"/>
              <c:layout>
                <c:manualLayout>
                  <c:x val="-5.7210482306271189E-2"/>
                  <c:y val="-4.92120581167281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FD-48BA-87A6-9128361FFEA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 W. rachunku zysków i strat'!$M$37:$N$37</c:f>
              <c:strCache>
                <c:ptCount val="2"/>
                <c:pt idx="0">
                  <c:v>2021/2020</c:v>
                </c:pt>
                <c:pt idx="1">
                  <c:v>2020/2019</c:v>
                </c:pt>
              </c:strCache>
            </c:strRef>
          </c:cat>
          <c:val>
            <c:numRef>
              <c:f>'A. W. rachunku zysków i strat'!$M$39:$N$39</c:f>
              <c:numCache>
                <c:formatCode>0.00%</c:formatCode>
                <c:ptCount val="2"/>
                <c:pt idx="0">
                  <c:v>0.81144570835215879</c:v>
                </c:pt>
                <c:pt idx="1">
                  <c:v>1.1280779503138607</c:v>
                </c:pt>
              </c:numCache>
            </c:numRef>
          </c:val>
          <c:smooth val="0"/>
          <c:extLst>
            <c:ext xmlns:c16="http://schemas.microsoft.com/office/drawing/2014/chart" uri="{C3380CC4-5D6E-409C-BE32-E72D297353CC}">
              <c16:uniqueId val="{00000001-46FD-48BA-87A6-9128361FFEAE}"/>
            </c:ext>
          </c:extLst>
        </c:ser>
        <c:ser>
          <c:idx val="2"/>
          <c:order val="2"/>
          <c:tx>
            <c:v>zysk brutto</c:v>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dLbl>
              <c:idx val="0"/>
              <c:layout>
                <c:manualLayout>
                  <c:x val="-8.855772245676985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FD-48BA-87A6-9128361FFEAE}"/>
                </c:ext>
              </c:extLst>
            </c:dLbl>
            <c:dLbl>
              <c:idx val="1"/>
              <c:layout>
                <c:manualLayout>
                  <c:x val="-3.5982102971847875E-2"/>
                  <c:y val="4.51110532736674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FD-48BA-87A6-9128361FFEA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 W. rachunku zysków i strat'!$M$37:$N$37</c:f>
              <c:strCache>
                <c:ptCount val="2"/>
                <c:pt idx="0">
                  <c:v>2021/2020</c:v>
                </c:pt>
                <c:pt idx="1">
                  <c:v>2020/2019</c:v>
                </c:pt>
              </c:strCache>
            </c:strRef>
          </c:cat>
          <c:val>
            <c:numRef>
              <c:f>'A. W. rachunku zysków i strat'!$M$40:$N$40</c:f>
              <c:numCache>
                <c:formatCode>0.00%</c:formatCode>
                <c:ptCount val="2"/>
                <c:pt idx="0">
                  <c:v>0.94352916930727049</c:v>
                </c:pt>
                <c:pt idx="1">
                  <c:v>1.1194524445380827</c:v>
                </c:pt>
              </c:numCache>
            </c:numRef>
          </c:val>
          <c:smooth val="0"/>
          <c:extLst>
            <c:ext xmlns:c16="http://schemas.microsoft.com/office/drawing/2014/chart" uri="{C3380CC4-5D6E-409C-BE32-E72D297353CC}">
              <c16:uniqueId val="{00000002-46FD-48BA-87A6-9128361FFEAE}"/>
            </c:ext>
          </c:extLst>
        </c:ser>
        <c:dLbls>
          <c:dLblPos val="ctr"/>
          <c:showLegendKey val="0"/>
          <c:showVal val="1"/>
          <c:showCatName val="0"/>
          <c:showSerName val="0"/>
          <c:showPercent val="0"/>
          <c:showBubbleSize val="0"/>
        </c:dLbls>
        <c:marker val="1"/>
        <c:smooth val="0"/>
        <c:axId val="1256347855"/>
        <c:axId val="1256347439"/>
      </c:lineChart>
      <c:catAx>
        <c:axId val="125634785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pl-PL"/>
          </a:p>
        </c:txPr>
        <c:crossAx val="1256347439"/>
        <c:crosses val="autoZero"/>
        <c:auto val="1"/>
        <c:lblAlgn val="ctr"/>
        <c:lblOffset val="100"/>
        <c:noMultiLvlLbl val="0"/>
      </c:catAx>
      <c:valAx>
        <c:axId val="1256347439"/>
        <c:scaling>
          <c:orientation val="minMax"/>
        </c:scaling>
        <c:delete val="1"/>
        <c:axPos val="l"/>
        <c:numFmt formatCode="0.00%" sourceLinked="1"/>
        <c:majorTickMark val="none"/>
        <c:minorTickMark val="none"/>
        <c:tickLblPos val="nextTo"/>
        <c:crossAx val="1256347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pl-PL"/>
              <a:t>statyczne</a:t>
            </a:r>
            <a:r>
              <a:rPr lang="pl-PL" baseline="0"/>
              <a:t> wskaźniki płynności</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0"/>
          <c:order val="0"/>
          <c:tx>
            <c:v>wskaźnik bieżącej płynności</c:v>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'Wskaźniki płynności'!$M$3:$O$3</c:f>
              <c:numCache>
                <c:formatCode>General</c:formatCode>
                <c:ptCount val="3"/>
                <c:pt idx="0">
                  <c:v>2021</c:v>
                </c:pt>
                <c:pt idx="1">
                  <c:v>2020</c:v>
                </c:pt>
                <c:pt idx="2">
                  <c:v>2019</c:v>
                </c:pt>
              </c:numCache>
            </c:numRef>
          </c:cat>
          <c:val>
            <c:numRef>
              <c:f>'Wskaźniki płynności'!$M$9:$O$9</c:f>
              <c:numCache>
                <c:formatCode>0.00</c:formatCode>
                <c:ptCount val="3"/>
                <c:pt idx="0">
                  <c:v>1.4590347666971637</c:v>
                </c:pt>
                <c:pt idx="1">
                  <c:v>0.94035977302909579</c:v>
                </c:pt>
                <c:pt idx="2">
                  <c:v>0.96360628618693134</c:v>
                </c:pt>
              </c:numCache>
            </c:numRef>
          </c:val>
          <c:extLst>
            <c:ext xmlns:c16="http://schemas.microsoft.com/office/drawing/2014/chart" uri="{C3380CC4-5D6E-409C-BE32-E72D297353CC}">
              <c16:uniqueId val="{00000000-1F95-4623-BF2A-4A2B8D5AFA68}"/>
            </c:ext>
          </c:extLst>
        </c:ser>
        <c:ser>
          <c:idx val="1"/>
          <c:order val="1"/>
          <c:tx>
            <c:v>wskaźnik szybki płynności</c:v>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'Wskaźniki płynności'!$M$3:$O$3</c:f>
              <c:numCache>
                <c:formatCode>General</c:formatCode>
                <c:ptCount val="3"/>
                <c:pt idx="0">
                  <c:v>2021</c:v>
                </c:pt>
                <c:pt idx="1">
                  <c:v>2020</c:v>
                </c:pt>
                <c:pt idx="2">
                  <c:v>2019</c:v>
                </c:pt>
              </c:numCache>
            </c:numRef>
          </c:cat>
          <c:val>
            <c:numRef>
              <c:f>'Wskaźniki płynności'!$M$10:$O$10</c:f>
              <c:numCache>
                <c:formatCode>0.00</c:formatCode>
                <c:ptCount val="3"/>
                <c:pt idx="0">
                  <c:v>1.1523559011893869</c:v>
                </c:pt>
                <c:pt idx="1">
                  <c:v>0.57706145116503682</c:v>
                </c:pt>
                <c:pt idx="2">
                  <c:v>0.69654359976940627</c:v>
                </c:pt>
              </c:numCache>
            </c:numRef>
          </c:val>
          <c:extLst>
            <c:ext xmlns:c16="http://schemas.microsoft.com/office/drawing/2014/chart" uri="{C3380CC4-5D6E-409C-BE32-E72D297353CC}">
              <c16:uniqueId val="{00000001-1F95-4623-BF2A-4A2B8D5AFA68}"/>
            </c:ext>
          </c:extLst>
        </c:ser>
        <c:ser>
          <c:idx val="2"/>
          <c:order val="2"/>
          <c:tx>
            <c:v>wskaźnik śodków pieniężnych</c:v>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'Wskaźniki płynności'!$M$3:$O$3</c:f>
              <c:numCache>
                <c:formatCode>General</c:formatCode>
                <c:ptCount val="3"/>
                <c:pt idx="0">
                  <c:v>2021</c:v>
                </c:pt>
                <c:pt idx="1">
                  <c:v>2020</c:v>
                </c:pt>
                <c:pt idx="2">
                  <c:v>2019</c:v>
                </c:pt>
              </c:numCache>
            </c:numRef>
          </c:cat>
          <c:val>
            <c:numRef>
              <c:f>'Wskaźniki płynności'!$M$11:$O$11</c:f>
              <c:numCache>
                <c:formatCode>0.00</c:formatCode>
                <c:ptCount val="3"/>
                <c:pt idx="0">
                  <c:v>0.64915370539798722</c:v>
                </c:pt>
                <c:pt idx="1">
                  <c:v>6.3406978148014007E-2</c:v>
                </c:pt>
                <c:pt idx="2">
                  <c:v>7.4316364638945281E-2</c:v>
                </c:pt>
              </c:numCache>
            </c:numRef>
          </c:val>
          <c:extLst>
            <c:ext xmlns:c16="http://schemas.microsoft.com/office/drawing/2014/chart" uri="{C3380CC4-5D6E-409C-BE32-E72D297353CC}">
              <c16:uniqueId val="{00000002-1F95-4623-BF2A-4A2B8D5AFA68}"/>
            </c:ext>
          </c:extLst>
        </c:ser>
        <c:dLbls>
          <c:dLblPos val="outEnd"/>
          <c:showLegendKey val="0"/>
          <c:showVal val="1"/>
          <c:showCatName val="0"/>
          <c:showSerName val="0"/>
          <c:showPercent val="0"/>
          <c:showBubbleSize val="0"/>
        </c:dLbls>
        <c:gapWidth val="444"/>
        <c:overlap val="-90"/>
        <c:axId val="652759343"/>
        <c:axId val="652758095"/>
      </c:barChart>
      <c:catAx>
        <c:axId val="652759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652758095"/>
        <c:crosses val="autoZero"/>
        <c:auto val="1"/>
        <c:lblAlgn val="ctr"/>
        <c:lblOffset val="100"/>
        <c:noMultiLvlLbl val="0"/>
      </c:catAx>
      <c:valAx>
        <c:axId val="652758095"/>
        <c:scaling>
          <c:orientation val="minMax"/>
        </c:scaling>
        <c:delete val="1"/>
        <c:axPos val="l"/>
        <c:numFmt formatCode="0.00" sourceLinked="1"/>
        <c:majorTickMark val="none"/>
        <c:minorTickMark val="none"/>
        <c:tickLblPos val="nextTo"/>
        <c:crossAx val="6527593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wskaźnik wystarczalności gotówkowej</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pl-PL"/>
        </a:p>
      </c:txPr>
    </c:title>
    <c:autoTitleDeleted val="0"/>
    <c:plotArea>
      <c:layout/>
      <c:lineChart>
        <c:grouping val="standard"/>
        <c:varyColors val="0"/>
        <c:ser>
          <c:idx val="0"/>
          <c:order val="0"/>
          <c:spPr>
            <a:ln w="38100" cap="flat" cmpd="dbl" algn="ctr">
              <a:solidFill>
                <a:schemeClr val="accent6"/>
              </a:solidFill>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'Wskaźniki płynności'!$M$14:$O$14</c:f>
              <c:numCache>
                <c:formatCode>General</c:formatCode>
                <c:ptCount val="3"/>
                <c:pt idx="0">
                  <c:v>2021</c:v>
                </c:pt>
                <c:pt idx="1">
                  <c:v>2020</c:v>
                </c:pt>
                <c:pt idx="2">
                  <c:v>2019</c:v>
                </c:pt>
              </c:numCache>
            </c:numRef>
          </c:cat>
          <c:val>
            <c:numRef>
              <c:f>'Wskaźniki płynności'!$M$15:$O$15</c:f>
              <c:numCache>
                <c:formatCode>0.000</c:formatCode>
                <c:ptCount val="3"/>
                <c:pt idx="0">
                  <c:v>0.12635280818906869</c:v>
                </c:pt>
                <c:pt idx="1">
                  <c:v>0.1332559251417253</c:v>
                </c:pt>
                <c:pt idx="2">
                  <c:v>0.1164993349637448</c:v>
                </c:pt>
              </c:numCache>
            </c:numRef>
          </c:val>
          <c:smooth val="0"/>
          <c:extLst>
            <c:ext xmlns:c16="http://schemas.microsoft.com/office/drawing/2014/chart" uri="{C3380CC4-5D6E-409C-BE32-E72D297353CC}">
              <c16:uniqueId val="{00000000-4B07-44B9-8B77-9099903D5FAB}"/>
            </c:ext>
          </c:extLst>
        </c:ser>
        <c:dLbls>
          <c:dLblPos val="t"/>
          <c:showLegendKey val="0"/>
          <c:showVal val="1"/>
          <c:showCatName val="0"/>
          <c:showSerName val="0"/>
          <c:showPercent val="0"/>
          <c:showBubbleSize val="0"/>
        </c:dLbls>
        <c:smooth val="0"/>
        <c:axId val="1254726623"/>
        <c:axId val="1254725375"/>
      </c:lineChart>
      <c:catAx>
        <c:axId val="1254726623"/>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54725375"/>
        <c:crosses val="autoZero"/>
        <c:auto val="1"/>
        <c:lblAlgn val="ctr"/>
        <c:lblOffset val="100"/>
        <c:noMultiLvlLbl val="0"/>
      </c:catAx>
      <c:valAx>
        <c:axId val="1254725375"/>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5472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cząstkowe wskaźniki wystarczalności gotówkowej</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pl-PL"/>
        </a:p>
      </c:txPr>
    </c:title>
    <c:autoTitleDeleted val="0"/>
    <c:plotArea>
      <c:layout/>
      <c:barChart>
        <c:barDir val="bar"/>
        <c:grouping val="clustered"/>
        <c:varyColors val="0"/>
        <c:ser>
          <c:idx val="0"/>
          <c:order val="0"/>
          <c:tx>
            <c:v>wskaźnik spłaty zobowiązań</c:v>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'Wskaźniki płynności'!$M$14:$O$14</c:f>
              <c:numCache>
                <c:formatCode>General</c:formatCode>
                <c:ptCount val="3"/>
                <c:pt idx="0">
                  <c:v>2021</c:v>
                </c:pt>
                <c:pt idx="1">
                  <c:v>2020</c:v>
                </c:pt>
                <c:pt idx="2">
                  <c:v>2019</c:v>
                </c:pt>
              </c:numCache>
            </c:numRef>
          </c:cat>
          <c:val>
            <c:numRef>
              <c:f>'Wskaźniki płynności'!$M$17:$O$17</c:f>
              <c:numCache>
                <c:formatCode>0.00</c:formatCode>
                <c:ptCount val="3"/>
                <c:pt idx="0">
                  <c:v>0.14083554020789341</c:v>
                </c:pt>
                <c:pt idx="1">
                  <c:v>0.15812294849454958</c:v>
                </c:pt>
                <c:pt idx="2">
                  <c:v>0.14608721383800069</c:v>
                </c:pt>
              </c:numCache>
            </c:numRef>
          </c:val>
          <c:extLst>
            <c:ext xmlns:c16="http://schemas.microsoft.com/office/drawing/2014/chart" uri="{C3380CC4-5D6E-409C-BE32-E72D297353CC}">
              <c16:uniqueId val="{00000000-AF75-46CA-A89E-10E1EA9DFFB8}"/>
            </c:ext>
          </c:extLst>
        </c:ser>
        <c:ser>
          <c:idx val="1"/>
          <c:order val="1"/>
          <c:tx>
            <c:v>wskaźnik pokrycia wydatków inwestycyjnych</c:v>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'Wskaźniki płynności'!$M$14:$O$14</c:f>
              <c:numCache>
                <c:formatCode>General</c:formatCode>
                <c:ptCount val="3"/>
                <c:pt idx="0">
                  <c:v>2021</c:v>
                </c:pt>
                <c:pt idx="1">
                  <c:v>2020</c:v>
                </c:pt>
                <c:pt idx="2">
                  <c:v>2019</c:v>
                </c:pt>
              </c:numCache>
            </c:numRef>
          </c:cat>
          <c:val>
            <c:numRef>
              <c:f>'Wskaźniki płynności'!$M$18:$O$18</c:f>
              <c:numCache>
                <c:formatCode>0.00</c:formatCode>
                <c:ptCount val="3"/>
                <c:pt idx="0">
                  <c:v>1.7123404255319148</c:v>
                </c:pt>
                <c:pt idx="1">
                  <c:v>1.0177360459050599</c:v>
                </c:pt>
                <c:pt idx="2">
                  <c:v>0.65550123725028664</c:v>
                </c:pt>
              </c:numCache>
            </c:numRef>
          </c:val>
          <c:extLst>
            <c:ext xmlns:c16="http://schemas.microsoft.com/office/drawing/2014/chart" uri="{C3380CC4-5D6E-409C-BE32-E72D297353CC}">
              <c16:uniqueId val="{00000001-AF75-46CA-A89E-10E1EA9DFFB8}"/>
            </c:ext>
          </c:extLst>
        </c:ser>
        <c:ser>
          <c:idx val="2"/>
          <c:order val="2"/>
          <c:tx>
            <c:v>wskaźnik pokrycia dywidend</c:v>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'Wskaźniki płynności'!$M$14:$O$14</c:f>
              <c:numCache>
                <c:formatCode>General</c:formatCode>
                <c:ptCount val="3"/>
                <c:pt idx="0">
                  <c:v>2021</c:v>
                </c:pt>
                <c:pt idx="1">
                  <c:v>2020</c:v>
                </c:pt>
                <c:pt idx="2">
                  <c:v>2019</c:v>
                </c:pt>
              </c:numCache>
            </c:numRef>
          </c:cat>
          <c:val>
            <c:numRef>
              <c:f>'Wskaźniki płynności'!$M$19:$O$19</c:f>
              <c:numCache>
                <c:formatCode>0.00</c:formatCode>
                <c:ptCount val="3"/>
                <c:pt idx="0">
                  <c:v>4.3502702702702702</c:v>
                </c:pt>
                <c:pt idx="1">
                  <c:v>5.060959792477302</c:v>
                </c:pt>
                <c:pt idx="2">
                  <c:v>4.6956333765672289</c:v>
                </c:pt>
              </c:numCache>
            </c:numRef>
          </c:val>
          <c:extLst>
            <c:ext xmlns:c16="http://schemas.microsoft.com/office/drawing/2014/chart" uri="{C3380CC4-5D6E-409C-BE32-E72D297353CC}">
              <c16:uniqueId val="{00000002-AF75-46CA-A89E-10E1EA9DFFB8}"/>
            </c:ext>
          </c:extLst>
        </c:ser>
        <c:dLbls>
          <c:dLblPos val="outEnd"/>
          <c:showLegendKey val="0"/>
          <c:showVal val="1"/>
          <c:showCatName val="0"/>
          <c:showSerName val="0"/>
          <c:showPercent val="0"/>
          <c:showBubbleSize val="0"/>
        </c:dLbls>
        <c:gapWidth val="326"/>
        <c:overlap val="-58"/>
        <c:axId val="642740975"/>
        <c:axId val="642741391"/>
      </c:barChart>
      <c:catAx>
        <c:axId val="64274097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42741391"/>
        <c:crosses val="autoZero"/>
        <c:auto val="1"/>
        <c:lblAlgn val="ctr"/>
        <c:lblOffset val="100"/>
        <c:noMultiLvlLbl val="0"/>
      </c:catAx>
      <c:valAx>
        <c:axId val="642741391"/>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42740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Wskaźniki wydajności gotówkowej</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pl-PL"/>
        </a:p>
      </c:txPr>
    </c:title>
    <c:autoTitleDeleted val="0"/>
    <c:plotArea>
      <c:layout/>
      <c:lineChart>
        <c:grouping val="standard"/>
        <c:varyColors val="0"/>
        <c:ser>
          <c:idx val="0"/>
          <c:order val="0"/>
          <c:tx>
            <c:v>Wskaźnik wydajności gotówkowej sprzedaży</c:v>
          </c:tx>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s>
            <c:dLbl>
              <c:idx val="1"/>
              <c:layout>
                <c:manualLayout>
                  <c:x val="-7.1000893655049233E-2"/>
                  <c:y val="1.89825360668184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5C-4C2E-A568-987C67629D82}"/>
                </c:ext>
              </c:extLst>
            </c:dLbl>
            <c:dLbl>
              <c:idx val="2"/>
              <c:layout>
                <c:manualLayout>
                  <c:x val="-7.1611111111111209E-2"/>
                  <c:y val="-5.55555555555556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5C-4C2E-A568-987C67629D8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'Wskaźniki płynności'!$M$14:$O$14</c:f>
              <c:numCache>
                <c:formatCode>General</c:formatCode>
                <c:ptCount val="3"/>
                <c:pt idx="0">
                  <c:v>2021</c:v>
                </c:pt>
                <c:pt idx="1">
                  <c:v>2020</c:v>
                </c:pt>
                <c:pt idx="2">
                  <c:v>2019</c:v>
                </c:pt>
              </c:numCache>
            </c:numRef>
          </c:cat>
          <c:val>
            <c:numRef>
              <c:f>'Wskaźniki płynności'!$M$22:$O$22</c:f>
              <c:numCache>
                <c:formatCode>0.00%</c:formatCode>
                <c:ptCount val="3"/>
                <c:pt idx="0">
                  <c:v>7.7602998180777955E-2</c:v>
                </c:pt>
                <c:pt idx="1">
                  <c:v>6.804271124570592E-2</c:v>
                </c:pt>
                <c:pt idx="2">
                  <c:v>7.1807789700563965E-2</c:v>
                </c:pt>
              </c:numCache>
            </c:numRef>
          </c:val>
          <c:smooth val="0"/>
          <c:extLst>
            <c:ext xmlns:c16="http://schemas.microsoft.com/office/drawing/2014/chart" uri="{C3380CC4-5D6E-409C-BE32-E72D297353CC}">
              <c16:uniqueId val="{00000000-465C-4C2E-A568-987C67629D82}"/>
            </c:ext>
          </c:extLst>
        </c:ser>
        <c:ser>
          <c:idx val="1"/>
          <c:order val="1"/>
          <c:tx>
            <c:v>Wskaźnik wydajności gotówkowej aktywów</c:v>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dLbl>
              <c:idx val="1"/>
              <c:layout>
                <c:manualLayout>
                  <c:x val="-6.8766756032171583E-2"/>
                  <c:y val="-1.13895216400911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5C-4C2E-A568-987C67629D82}"/>
                </c:ext>
              </c:extLst>
            </c:dLbl>
            <c:dLbl>
              <c:idx val="2"/>
              <c:layout>
                <c:manualLayout>
                  <c:x val="-7.1611111111111209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5C-4C2E-A568-987C67629D8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'Wskaźniki płynności'!$M$14:$O$14</c:f>
              <c:numCache>
                <c:formatCode>General</c:formatCode>
                <c:ptCount val="3"/>
                <c:pt idx="0">
                  <c:v>2021</c:v>
                </c:pt>
                <c:pt idx="1">
                  <c:v>2020</c:v>
                </c:pt>
                <c:pt idx="2">
                  <c:v>2019</c:v>
                </c:pt>
              </c:numCache>
            </c:numRef>
          </c:cat>
          <c:val>
            <c:numRef>
              <c:f>'Wskaźniki płynności'!$M$23:$O$23</c:f>
              <c:numCache>
                <c:formatCode>0.00%</c:formatCode>
                <c:ptCount val="3"/>
                <c:pt idx="0">
                  <c:v>6.610556519929689E-2</c:v>
                </c:pt>
                <c:pt idx="1">
                  <c:v>7.5117431145563282E-2</c:v>
                </c:pt>
                <c:pt idx="2">
                  <c:v>7.1589590803627923E-2</c:v>
                </c:pt>
              </c:numCache>
            </c:numRef>
          </c:val>
          <c:smooth val="0"/>
          <c:extLst>
            <c:ext xmlns:c16="http://schemas.microsoft.com/office/drawing/2014/chart" uri="{C3380CC4-5D6E-409C-BE32-E72D297353CC}">
              <c16:uniqueId val="{00000001-465C-4C2E-A568-987C67629D82}"/>
            </c:ext>
          </c:extLst>
        </c:ser>
        <c:dLbls>
          <c:dLblPos val="ctr"/>
          <c:showLegendKey val="0"/>
          <c:showVal val="1"/>
          <c:showCatName val="0"/>
          <c:showSerName val="0"/>
          <c:showPercent val="0"/>
          <c:showBubbleSize val="0"/>
        </c:dLbls>
        <c:marker val="1"/>
        <c:smooth val="0"/>
        <c:axId val="427514896"/>
        <c:axId val="427515312"/>
      </c:lineChart>
      <c:catAx>
        <c:axId val="4275148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pl-PL"/>
          </a:p>
        </c:txPr>
        <c:crossAx val="427515312"/>
        <c:crosses val="autoZero"/>
        <c:auto val="1"/>
        <c:lblAlgn val="ctr"/>
        <c:lblOffset val="100"/>
        <c:noMultiLvlLbl val="0"/>
      </c:catAx>
      <c:valAx>
        <c:axId val="427515312"/>
        <c:scaling>
          <c:orientation val="minMax"/>
        </c:scaling>
        <c:delete val="1"/>
        <c:axPos val="l"/>
        <c:numFmt formatCode="0.00%" sourceLinked="1"/>
        <c:majorTickMark val="none"/>
        <c:minorTickMark val="none"/>
        <c:tickLblPos val="nextTo"/>
        <c:crossAx val="427514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Wskaźnik wydajności gotówkowej zysku</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pl-PL"/>
        </a:p>
      </c:txPr>
    </c:title>
    <c:autoTitleDeleted val="0"/>
    <c:plotArea>
      <c:layout/>
      <c:lineChart>
        <c:grouping val="standard"/>
        <c:varyColors val="0"/>
        <c:ser>
          <c:idx val="0"/>
          <c:order val="0"/>
          <c:spPr>
            <a:ln w="38100" cap="flat" cmpd="dbl" algn="ctr">
              <a:solidFill>
                <a:schemeClr val="accent6"/>
              </a:solidFill>
              <a:miter lim="800000"/>
            </a:ln>
            <a:effectLst/>
          </c:spPr>
          <c:marker>
            <c:symbol val="none"/>
          </c:marker>
          <c:dLbls>
            <c:dLbl>
              <c:idx val="0"/>
              <c:layout>
                <c:manualLayout>
                  <c:x val="-0.11455555555555555"/>
                  <c:y val="-4.62962962962963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D1-4AB7-AF13-CBC270682E4C}"/>
                </c:ext>
              </c:extLst>
            </c:dLbl>
            <c:dLbl>
              <c:idx val="1"/>
              <c:layout>
                <c:manualLayout>
                  <c:x val="-6.7333333333333328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D1-4AB7-AF13-CBC270682E4C}"/>
                </c:ext>
              </c:extLst>
            </c:dLbl>
            <c:dLbl>
              <c:idx val="2"/>
              <c:layout>
                <c:manualLayout>
                  <c:x val="-3.1222222222222325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D1-4AB7-AF13-CBC270682E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'Wskaźniki płynności'!$M$14:$O$14</c:f>
              <c:numCache>
                <c:formatCode>General</c:formatCode>
                <c:ptCount val="3"/>
                <c:pt idx="0">
                  <c:v>2021</c:v>
                </c:pt>
                <c:pt idx="1">
                  <c:v>2020</c:v>
                </c:pt>
                <c:pt idx="2">
                  <c:v>2019</c:v>
                </c:pt>
              </c:numCache>
            </c:numRef>
          </c:cat>
          <c:val>
            <c:numRef>
              <c:f>'Wskaźniki płynności'!$M$24:$O$24</c:f>
              <c:numCache>
                <c:formatCode>0.00%</c:formatCode>
                <c:ptCount val="3"/>
                <c:pt idx="0">
                  <c:v>2.3980929678188319</c:v>
                </c:pt>
                <c:pt idx="1">
                  <c:v>1.7337085308056872</c:v>
                </c:pt>
                <c:pt idx="2">
                  <c:v>1.9443250984604368</c:v>
                </c:pt>
              </c:numCache>
            </c:numRef>
          </c:val>
          <c:smooth val="0"/>
          <c:extLst>
            <c:ext xmlns:c16="http://schemas.microsoft.com/office/drawing/2014/chart" uri="{C3380CC4-5D6E-409C-BE32-E72D297353CC}">
              <c16:uniqueId val="{00000000-67D1-4AB7-AF13-CBC270682E4C}"/>
            </c:ext>
          </c:extLst>
        </c:ser>
        <c:dLbls>
          <c:dLblPos val="ctr"/>
          <c:showLegendKey val="0"/>
          <c:showVal val="1"/>
          <c:showCatName val="0"/>
          <c:showSerName val="0"/>
          <c:showPercent val="0"/>
          <c:showBubbleSize val="0"/>
        </c:dLbls>
        <c:smooth val="0"/>
        <c:axId val="481605999"/>
        <c:axId val="481624303"/>
      </c:lineChart>
      <c:catAx>
        <c:axId val="481605999"/>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81624303"/>
        <c:crosses val="autoZero"/>
        <c:auto val="1"/>
        <c:lblAlgn val="ctr"/>
        <c:lblOffset val="100"/>
        <c:noMultiLvlLbl val="0"/>
      </c:catAx>
      <c:valAx>
        <c:axId val="481624303"/>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8160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Wskaźnik ogólnego zadłużenia</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lineChart>
        <c:grouping val="standard"/>
        <c:varyColors val="0"/>
        <c:ser>
          <c:idx val="0"/>
          <c:order val="0"/>
          <c:tx>
            <c:v>Wskaźnik ogólnego zadłużenia</c:v>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zadłużenia'!$P$2:$R$2</c:f>
              <c:numCache>
                <c:formatCode>General</c:formatCode>
                <c:ptCount val="3"/>
                <c:pt idx="0">
                  <c:v>2021</c:v>
                </c:pt>
                <c:pt idx="1">
                  <c:v>2020</c:v>
                </c:pt>
                <c:pt idx="2">
                  <c:v>2019</c:v>
                </c:pt>
              </c:numCache>
            </c:numRef>
          </c:cat>
          <c:val>
            <c:numRef>
              <c:f>'Analiza zadłużenia'!$P$4:$R$4</c:f>
              <c:numCache>
                <c:formatCode>0.00%</c:formatCode>
                <c:ptCount val="3"/>
                <c:pt idx="0">
                  <c:v>0.46938127337542507</c:v>
                </c:pt>
                <c:pt idx="1">
                  <c:v>0.47505711132215922</c:v>
                </c:pt>
                <c:pt idx="2">
                  <c:v>0.49004693102720948</c:v>
                </c:pt>
              </c:numCache>
            </c:numRef>
          </c:val>
          <c:smooth val="0"/>
          <c:extLst>
            <c:ext xmlns:c16="http://schemas.microsoft.com/office/drawing/2014/chart" uri="{C3380CC4-5D6E-409C-BE32-E72D297353CC}">
              <c16:uniqueId val="{00000004-E7D0-F141-8887-7577B3E702FA}"/>
            </c:ext>
          </c:extLst>
        </c:ser>
        <c:dLbls>
          <c:dLblPos val="t"/>
          <c:showLegendKey val="0"/>
          <c:showVal val="1"/>
          <c:showCatName val="0"/>
          <c:showSerName val="0"/>
          <c:showPercent val="0"/>
          <c:showBubbleSize val="0"/>
        </c:dLbls>
        <c:marker val="1"/>
        <c:smooth val="0"/>
        <c:axId val="781633871"/>
        <c:axId val="781625967"/>
      </c:line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Wskaźnik zadłużenia kapitału własnego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0"/>
          <c:order val="0"/>
          <c:tx>
            <c:v>Wskaźnik ogólnego zadłużenia</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'Analiza zadłużenia'!$P$2:$R$2</c:f>
              <c:numCache>
                <c:formatCode>General</c:formatCode>
                <c:ptCount val="3"/>
                <c:pt idx="0">
                  <c:v>2021</c:v>
                </c:pt>
                <c:pt idx="1">
                  <c:v>2020</c:v>
                </c:pt>
                <c:pt idx="2">
                  <c:v>2019</c:v>
                </c:pt>
              </c:numCache>
            </c:numRef>
          </c:cat>
          <c:val>
            <c:numRef>
              <c:f>'Analiza zadłużenia'!$P$6:$R$6</c:f>
              <c:numCache>
                <c:formatCode>0.00%</c:formatCode>
                <c:ptCount val="3"/>
                <c:pt idx="0">
                  <c:v>0.88459236326109392</c:v>
                </c:pt>
                <c:pt idx="1">
                  <c:v>0.90496913391601985</c:v>
                </c:pt>
                <c:pt idx="2">
                  <c:v>0.96096476488379912</c:v>
                </c:pt>
              </c:numCache>
            </c:numRef>
          </c:val>
          <c:extLst>
            <c:ext xmlns:c16="http://schemas.microsoft.com/office/drawing/2014/chart" uri="{C3380CC4-5D6E-409C-BE32-E72D297353CC}">
              <c16:uniqueId val="{00000000-36D1-3D48-8A26-2A34AD6095D1}"/>
            </c:ext>
          </c:extLst>
        </c:ser>
        <c:dLbls>
          <c:dLblPos val="outEnd"/>
          <c:showLegendKey val="0"/>
          <c:showVal val="1"/>
          <c:showCatName val="0"/>
          <c:showSerName val="0"/>
          <c:showPercent val="0"/>
          <c:showBubbleSize val="0"/>
        </c:dLbls>
        <c:gapWidth val="219"/>
        <c:overlap val="-27"/>
        <c:axId val="781633871"/>
        <c:axId val="781625967"/>
      </c:barChart>
      <c:catAx>
        <c:axId val="78163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Wskaźnk zadłużenia długoterminowego</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lineChart>
        <c:grouping val="standard"/>
        <c:varyColors val="0"/>
        <c:ser>
          <c:idx val="0"/>
          <c:order val="0"/>
          <c:tx>
            <c:v>Wskaźnik ogólnego zadłużenia</c:v>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zadłużenia'!$P$2:$R$2</c:f>
              <c:numCache>
                <c:formatCode>General</c:formatCode>
                <c:ptCount val="3"/>
                <c:pt idx="0">
                  <c:v>2021</c:v>
                </c:pt>
                <c:pt idx="1">
                  <c:v>2020</c:v>
                </c:pt>
                <c:pt idx="2">
                  <c:v>2019</c:v>
                </c:pt>
              </c:numCache>
            </c:numRef>
          </c:cat>
          <c:val>
            <c:numRef>
              <c:f>'Analiza zadłużenia'!$P$8:$R$8</c:f>
              <c:numCache>
                <c:formatCode>0.00%</c:formatCode>
                <c:ptCount val="3"/>
                <c:pt idx="0">
                  <c:v>0.43340557275541797</c:v>
                </c:pt>
                <c:pt idx="1">
                  <c:v>0.39870423568241548</c:v>
                </c:pt>
                <c:pt idx="2">
                  <c:v>0.44527311739006797</c:v>
                </c:pt>
              </c:numCache>
            </c:numRef>
          </c:val>
          <c:smooth val="0"/>
          <c:extLst>
            <c:ext xmlns:c16="http://schemas.microsoft.com/office/drawing/2014/chart" uri="{C3380CC4-5D6E-409C-BE32-E72D297353CC}">
              <c16:uniqueId val="{00000000-CE64-FA45-BBFE-36FB39ED137B}"/>
            </c:ext>
          </c:extLst>
        </c:ser>
        <c:dLbls>
          <c:dLblPos val="t"/>
          <c:showLegendKey val="0"/>
          <c:showVal val="1"/>
          <c:showCatName val="0"/>
          <c:showSerName val="0"/>
          <c:showPercent val="0"/>
          <c:showBubbleSize val="0"/>
        </c:dLbls>
        <c:marker val="1"/>
        <c:smooth val="0"/>
        <c:axId val="781633871"/>
        <c:axId val="781625967"/>
      </c:line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Wskaźnk pokrycia odsetek</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lineChart>
        <c:grouping val="standard"/>
        <c:varyColors val="0"/>
        <c:ser>
          <c:idx val="0"/>
          <c:order val="0"/>
          <c:tx>
            <c:v>Wskaźnik pokrycia odsetek</c:v>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zadłużenia'!$P$2:$R$2</c:f>
              <c:numCache>
                <c:formatCode>General</c:formatCode>
                <c:ptCount val="3"/>
                <c:pt idx="0">
                  <c:v>2021</c:v>
                </c:pt>
                <c:pt idx="1">
                  <c:v>2020</c:v>
                </c:pt>
                <c:pt idx="2">
                  <c:v>2019</c:v>
                </c:pt>
              </c:numCache>
            </c:numRef>
          </c:cat>
          <c:val>
            <c:numRef>
              <c:f>'Analiza zadłużenia'!$P$10:$R$10</c:f>
              <c:numCache>
                <c:formatCode>0.00</c:formatCode>
                <c:ptCount val="3"/>
                <c:pt idx="0">
                  <c:v>13.553014553014552</c:v>
                </c:pt>
                <c:pt idx="1">
                  <c:v>13.690370370370371</c:v>
                </c:pt>
                <c:pt idx="2">
                  <c:v>8.612554112554113</c:v>
                </c:pt>
              </c:numCache>
            </c:numRef>
          </c:val>
          <c:smooth val="0"/>
          <c:extLst>
            <c:ext xmlns:c16="http://schemas.microsoft.com/office/drawing/2014/chart" uri="{C3380CC4-5D6E-409C-BE32-E72D297353CC}">
              <c16:uniqueId val="{00000000-5369-6549-965E-642FE8052FA4}"/>
            </c:ext>
          </c:extLst>
        </c:ser>
        <c:dLbls>
          <c:dLblPos val="t"/>
          <c:showLegendKey val="0"/>
          <c:showVal val="1"/>
          <c:showCatName val="0"/>
          <c:showSerName val="0"/>
          <c:showPercent val="0"/>
          <c:showBubbleSize val="0"/>
        </c:dLbls>
        <c:marker val="1"/>
        <c:smooth val="0"/>
        <c:axId val="781633871"/>
        <c:axId val="781625967"/>
      </c:line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Wskaźnik pokrycia aktywów kapitałami własnymi</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lineChart>
        <c:grouping val="standard"/>
        <c:varyColors val="0"/>
        <c:ser>
          <c:idx val="0"/>
          <c:order val="0"/>
          <c:tx>
            <c:strRef>
              <c:f>'Analiza zadłużenia'!$N$12</c:f>
              <c:strCache>
                <c:ptCount val="1"/>
                <c:pt idx="0">
                  <c:v>Wskaźnik pokrycia aktywów kapitałami własnymi</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zadłużenia'!$P$2:$R$2</c:f>
              <c:numCache>
                <c:formatCode>General</c:formatCode>
                <c:ptCount val="3"/>
                <c:pt idx="0">
                  <c:v>2021</c:v>
                </c:pt>
                <c:pt idx="1">
                  <c:v>2020</c:v>
                </c:pt>
                <c:pt idx="2">
                  <c:v>2019</c:v>
                </c:pt>
              </c:numCache>
            </c:numRef>
          </c:cat>
          <c:val>
            <c:numRef>
              <c:f>'Analiza zadłużenia'!$P$12:$R$12</c:f>
              <c:numCache>
                <c:formatCode>0.00%</c:formatCode>
                <c:ptCount val="3"/>
                <c:pt idx="0">
                  <c:v>0.53061872662457488</c:v>
                </c:pt>
                <c:pt idx="1">
                  <c:v>0.52494288867784078</c:v>
                </c:pt>
                <c:pt idx="2">
                  <c:v>0.50995306897279058</c:v>
                </c:pt>
              </c:numCache>
            </c:numRef>
          </c:val>
          <c:smooth val="0"/>
          <c:extLst>
            <c:ext xmlns:c16="http://schemas.microsoft.com/office/drawing/2014/chart" uri="{C3380CC4-5D6E-409C-BE32-E72D297353CC}">
              <c16:uniqueId val="{00000000-3F9E-3148-B3EF-748A7B7A1E2E}"/>
            </c:ext>
          </c:extLst>
        </c:ser>
        <c:dLbls>
          <c:dLblPos val="t"/>
          <c:showLegendKey val="0"/>
          <c:showVal val="1"/>
          <c:showCatName val="0"/>
          <c:showSerName val="0"/>
          <c:showPercent val="0"/>
          <c:showBubbleSize val="0"/>
        </c:dLbls>
        <c:marker val="1"/>
        <c:smooth val="0"/>
        <c:axId val="781633871"/>
        <c:axId val="781625967"/>
      </c:line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Mnożnik kapitału własnego</a:t>
            </a:r>
          </a:p>
        </c:rich>
      </c:tx>
      <c:layout>
        <c:manualLayout>
          <c:xMode val="edge"/>
          <c:yMode val="edge"/>
          <c:x val="0.21653246099647705"/>
          <c:y val="3.12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lineChart>
        <c:grouping val="standard"/>
        <c:varyColors val="0"/>
        <c:ser>
          <c:idx val="0"/>
          <c:order val="0"/>
          <c:tx>
            <c:v>Wskaźnik pokrycia odsetek</c:v>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zadłużenia'!$P$2:$R$2</c:f>
              <c:numCache>
                <c:formatCode>General</c:formatCode>
                <c:ptCount val="3"/>
                <c:pt idx="0">
                  <c:v>2021</c:v>
                </c:pt>
                <c:pt idx="1">
                  <c:v>2020</c:v>
                </c:pt>
                <c:pt idx="2">
                  <c:v>2019</c:v>
                </c:pt>
              </c:numCache>
            </c:numRef>
          </c:cat>
          <c:val>
            <c:numRef>
              <c:f>'Analiza zadłużenia'!$P$14:$R$14</c:f>
              <c:numCache>
                <c:formatCode>0.00%</c:formatCode>
                <c:ptCount val="3"/>
                <c:pt idx="0">
                  <c:v>1.8845923632610939</c:v>
                </c:pt>
                <c:pt idx="1">
                  <c:v>1.9049691339160197</c:v>
                </c:pt>
                <c:pt idx="2">
                  <c:v>1.9609647648837991</c:v>
                </c:pt>
              </c:numCache>
            </c:numRef>
          </c:val>
          <c:smooth val="0"/>
          <c:extLst>
            <c:ext xmlns:c16="http://schemas.microsoft.com/office/drawing/2014/chart" uri="{C3380CC4-5D6E-409C-BE32-E72D297353CC}">
              <c16:uniqueId val="{00000000-3746-3744-A965-8CF848341499}"/>
            </c:ext>
          </c:extLst>
        </c:ser>
        <c:dLbls>
          <c:dLblPos val="t"/>
          <c:showLegendKey val="0"/>
          <c:showVal val="1"/>
          <c:showCatName val="0"/>
          <c:showSerName val="0"/>
          <c:showPercent val="0"/>
          <c:showBubbleSize val="0"/>
        </c:dLbls>
        <c:marker val="1"/>
        <c:smooth val="0"/>
        <c:axId val="781633871"/>
        <c:axId val="781625967"/>
      </c:line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Wskaźnik</a:t>
            </a:r>
            <a:r>
              <a:rPr lang="en-US" baseline="0"/>
              <a:t> struktury zobowiązań</a:t>
            </a:r>
            <a:endParaRPr lang="en-US"/>
          </a:p>
        </c:rich>
      </c:tx>
      <c:layout>
        <c:manualLayout>
          <c:xMode val="edge"/>
          <c:yMode val="edge"/>
          <c:x val="0.14859084046300955"/>
          <c:y val="3.5714285714285712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Długoterminowych</c:v>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zadłużenia'!$P$2:$R$2</c:f>
              <c:numCache>
                <c:formatCode>General</c:formatCode>
                <c:ptCount val="3"/>
                <c:pt idx="0">
                  <c:v>2021</c:v>
                </c:pt>
                <c:pt idx="1">
                  <c:v>2020</c:v>
                </c:pt>
                <c:pt idx="2">
                  <c:v>2019</c:v>
                </c:pt>
              </c:numCache>
            </c:numRef>
          </c:cat>
          <c:val>
            <c:numRef>
              <c:f>'Analiza zadłużenia'!$P$16:$R$16</c:f>
              <c:numCache>
                <c:formatCode>0.00%</c:formatCode>
                <c:ptCount val="3"/>
                <c:pt idx="0">
                  <c:v>0.48994948493297713</c:v>
                </c:pt>
                <c:pt idx="1">
                  <c:v>0.44057219273007253</c:v>
                </c:pt>
                <c:pt idx="2">
                  <c:v>0.46336050359131625</c:v>
                </c:pt>
              </c:numCache>
            </c:numRef>
          </c:val>
          <c:extLst>
            <c:ext xmlns:c16="http://schemas.microsoft.com/office/drawing/2014/chart" uri="{C3380CC4-5D6E-409C-BE32-E72D297353CC}">
              <c16:uniqueId val="{00000000-B99E-6243-AA7E-318B03B618DF}"/>
            </c:ext>
          </c:extLst>
        </c:ser>
        <c:ser>
          <c:idx val="1"/>
          <c:order val="1"/>
          <c:tx>
            <c:v>Krótkoterminowych</c:v>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'Analiza zadłużenia'!$P$18:$R$18</c:f>
              <c:numCache>
                <c:formatCode>0.00%</c:formatCode>
                <c:ptCount val="3"/>
                <c:pt idx="0">
                  <c:v>0.51005051506702292</c:v>
                </c:pt>
                <c:pt idx="1">
                  <c:v>0.55942780726992747</c:v>
                </c:pt>
                <c:pt idx="2">
                  <c:v>0.53663949640868369</c:v>
                </c:pt>
              </c:numCache>
            </c:numRef>
          </c:val>
          <c:extLst>
            <c:ext xmlns:c16="http://schemas.microsoft.com/office/drawing/2014/chart" uri="{C3380CC4-5D6E-409C-BE32-E72D297353CC}">
              <c16:uniqueId val="{00000001-B99E-6243-AA7E-318B03B618DF}"/>
            </c:ext>
          </c:extLst>
        </c:ser>
        <c:dLbls>
          <c:showLegendKey val="0"/>
          <c:showVal val="1"/>
          <c:showCatName val="0"/>
          <c:showSerName val="0"/>
          <c:showPercent val="0"/>
          <c:showBubbleSize val="0"/>
        </c:dLbls>
        <c:gapWidth val="150"/>
        <c:axId val="781633871"/>
        <c:axId val="781625967"/>
      </c:bar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Wskaźnik zadłużenia aktywów trwałych</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lineChart>
        <c:grouping val="standard"/>
        <c:varyColors val="0"/>
        <c:ser>
          <c:idx val="0"/>
          <c:order val="0"/>
          <c:tx>
            <c:strRef>
              <c:f>'Analiza zadłużenia'!$N$12</c:f>
              <c:strCache>
                <c:ptCount val="1"/>
                <c:pt idx="0">
                  <c:v>Wskaźnik pokrycia aktywów kapitałami własnymi</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zadłużenia'!$P$2:$R$2</c:f>
              <c:numCache>
                <c:formatCode>General</c:formatCode>
                <c:ptCount val="3"/>
                <c:pt idx="0">
                  <c:v>2021</c:v>
                </c:pt>
                <c:pt idx="1">
                  <c:v>2020</c:v>
                </c:pt>
                <c:pt idx="2">
                  <c:v>2019</c:v>
                </c:pt>
              </c:numCache>
            </c:numRef>
          </c:cat>
          <c:val>
            <c:numRef>
              <c:f>'Analiza zadłużenia'!$P$20:$R$20</c:f>
              <c:numCache>
                <c:formatCode>0.00%</c:formatCode>
                <c:ptCount val="3"/>
                <c:pt idx="0">
                  <c:v>0.35342680176389402</c:v>
                </c:pt>
                <c:pt idx="1">
                  <c:v>0.2790291810319015</c:v>
                </c:pt>
                <c:pt idx="2">
                  <c:v>0.30413977592767533</c:v>
                </c:pt>
              </c:numCache>
            </c:numRef>
          </c:val>
          <c:smooth val="0"/>
          <c:extLst>
            <c:ext xmlns:c16="http://schemas.microsoft.com/office/drawing/2014/chart" uri="{C3380CC4-5D6E-409C-BE32-E72D297353CC}">
              <c16:uniqueId val="{00000000-47EE-DF45-B388-2B639F26B84C}"/>
            </c:ext>
          </c:extLst>
        </c:ser>
        <c:dLbls>
          <c:dLblPos val="t"/>
          <c:showLegendKey val="0"/>
          <c:showVal val="1"/>
          <c:showCatName val="0"/>
          <c:showSerName val="0"/>
          <c:showPercent val="0"/>
          <c:showBubbleSize val="0"/>
        </c:dLbls>
        <c:marker val="1"/>
        <c:smooth val="0"/>
        <c:axId val="781633871"/>
        <c:axId val="781625967"/>
      </c:line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Wskaźnik pokrycia zobowiązań długoterminowych majątkiem trwałym</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lineChart>
        <c:grouping val="standard"/>
        <c:varyColors val="0"/>
        <c:ser>
          <c:idx val="0"/>
          <c:order val="0"/>
          <c:tx>
            <c:strRef>
              <c:f>'Analiza zadłużenia'!$N$12</c:f>
              <c:strCache>
                <c:ptCount val="1"/>
                <c:pt idx="0">
                  <c:v>Wskaźnik pokrycia aktywów kapitałami własnymi</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zadłużenia'!$P$2:$R$2</c:f>
              <c:numCache>
                <c:formatCode>General</c:formatCode>
                <c:ptCount val="3"/>
                <c:pt idx="0">
                  <c:v>2021</c:v>
                </c:pt>
                <c:pt idx="1">
                  <c:v>2020</c:v>
                </c:pt>
                <c:pt idx="2">
                  <c:v>2019</c:v>
                </c:pt>
              </c:numCache>
            </c:numRef>
          </c:cat>
          <c:val>
            <c:numRef>
              <c:f>'Analiza zadłużenia'!$P$22:$R$22</c:f>
              <c:numCache>
                <c:formatCode>0.00%</c:formatCode>
                <c:ptCount val="3"/>
                <c:pt idx="0">
                  <c:v>2.8294401981093888</c:v>
                </c:pt>
                <c:pt idx="1">
                  <c:v>3.5838545499141525</c:v>
                </c:pt>
                <c:pt idx="2">
                  <c:v>3.2879619147145056</c:v>
                </c:pt>
              </c:numCache>
            </c:numRef>
          </c:val>
          <c:smooth val="0"/>
          <c:extLst>
            <c:ext xmlns:c16="http://schemas.microsoft.com/office/drawing/2014/chart" uri="{C3380CC4-5D6E-409C-BE32-E72D297353CC}">
              <c16:uniqueId val="{00000000-2D28-854B-8B8D-3706FC8455B8}"/>
            </c:ext>
          </c:extLst>
        </c:ser>
        <c:dLbls>
          <c:dLblPos val="t"/>
          <c:showLegendKey val="0"/>
          <c:showVal val="1"/>
          <c:showCatName val="0"/>
          <c:showSerName val="0"/>
          <c:showPercent val="0"/>
          <c:showBubbleSize val="0"/>
        </c:dLbls>
        <c:marker val="1"/>
        <c:smooth val="0"/>
        <c:axId val="781633871"/>
        <c:axId val="781625967"/>
      </c:line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Wskaźnik niezależności finansowej</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0"/>
          <c:order val="0"/>
          <c:tx>
            <c:strRef>
              <c:f>'Analiza zadłużenia'!$N$12</c:f>
              <c:strCache>
                <c:ptCount val="1"/>
                <c:pt idx="0">
                  <c:v>Wskaźnik pokrycia aktywów kapitałami własnymi</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zadłużenia'!$P$2:$R$2</c:f>
              <c:numCache>
                <c:formatCode>General</c:formatCode>
                <c:ptCount val="3"/>
                <c:pt idx="0">
                  <c:v>2021</c:v>
                </c:pt>
                <c:pt idx="1">
                  <c:v>2020</c:v>
                </c:pt>
                <c:pt idx="2">
                  <c:v>2019</c:v>
                </c:pt>
              </c:numCache>
            </c:numRef>
          </c:cat>
          <c:val>
            <c:numRef>
              <c:f>'Analiza zadłużenia'!$P$24:$R$24</c:f>
              <c:numCache>
                <c:formatCode>0.00%</c:formatCode>
                <c:ptCount val="3"/>
                <c:pt idx="0">
                  <c:v>1.1304642019669378</c:v>
                </c:pt>
                <c:pt idx="1">
                  <c:v>1.1050100633518392</c:v>
                </c:pt>
                <c:pt idx="2">
                  <c:v>1.0406208807467785</c:v>
                </c:pt>
              </c:numCache>
            </c:numRef>
          </c:val>
          <c:extLst>
            <c:ext xmlns:c16="http://schemas.microsoft.com/office/drawing/2014/chart" uri="{C3380CC4-5D6E-409C-BE32-E72D297353CC}">
              <c16:uniqueId val="{00000000-8083-A543-AD31-D9347AC884A6}"/>
            </c:ext>
          </c:extLst>
        </c:ser>
        <c:dLbls>
          <c:showLegendKey val="0"/>
          <c:showVal val="1"/>
          <c:showCatName val="0"/>
          <c:showSerName val="0"/>
          <c:showPercent val="0"/>
          <c:showBubbleSize val="0"/>
        </c:dLbls>
        <c:gapWidth val="150"/>
        <c:axId val="781633871"/>
        <c:axId val="781625967"/>
      </c:bar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Wskaźniki rotacji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pl-PL"/>
        </a:p>
      </c:txPr>
    </c:title>
    <c:autoTitleDeleted val="0"/>
    <c:plotArea>
      <c:layout/>
      <c:barChart>
        <c:barDir val="col"/>
        <c:grouping val="clustered"/>
        <c:varyColors val="0"/>
        <c:ser>
          <c:idx val="0"/>
          <c:order val="0"/>
          <c:tx>
            <c:v>Aktywów</c:v>
          </c:tx>
          <c:spPr>
            <a:pattFill prst="narHorz">
              <a:fgClr>
                <a:schemeClr val="accent6">
                  <a:shade val="65000"/>
                </a:schemeClr>
              </a:fgClr>
              <a:bgClr>
                <a:schemeClr val="accent6">
                  <a:shade val="65000"/>
                  <a:lumMod val="20000"/>
                  <a:lumOff val="80000"/>
                </a:schemeClr>
              </a:bgClr>
            </a:pattFill>
            <a:ln>
              <a:noFill/>
            </a:ln>
            <a:effectLst>
              <a:innerShdw blurRad="114300">
                <a:schemeClr val="accent6">
                  <a:shade val="6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sprawności działania'!$M$10:$N$10</c:f>
              <c:numCache>
                <c:formatCode>General</c:formatCode>
                <c:ptCount val="2"/>
                <c:pt idx="0">
                  <c:v>2021</c:v>
                </c:pt>
                <c:pt idx="1">
                  <c:v>2020</c:v>
                </c:pt>
              </c:numCache>
            </c:numRef>
          </c:cat>
          <c:val>
            <c:numRef>
              <c:f>'Analiza sprawności działania'!$M$11:$N$11</c:f>
              <c:numCache>
                <c:formatCode>0.000</c:formatCode>
                <c:ptCount val="2"/>
                <c:pt idx="0">
                  <c:v>0.91924728101095277</c:v>
                </c:pt>
                <c:pt idx="1">
                  <c:v>1.1187782069790733</c:v>
                </c:pt>
              </c:numCache>
            </c:numRef>
          </c:val>
          <c:extLst>
            <c:ext xmlns:c16="http://schemas.microsoft.com/office/drawing/2014/chart" uri="{C3380CC4-5D6E-409C-BE32-E72D297353CC}">
              <c16:uniqueId val="{00000000-118F-F54F-8DFC-4982D472BB33}"/>
            </c:ext>
          </c:extLst>
        </c:ser>
        <c:ser>
          <c:idx val="1"/>
          <c:order val="1"/>
          <c:tx>
            <c:v>Aktywów trwałych</c:v>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'Analiza sprawności działania'!$M$13:$N$13</c:f>
              <c:numCache>
                <c:formatCode>0.000</c:formatCode>
                <c:ptCount val="2"/>
                <c:pt idx="0">
                  <c:v>1.3198851174491661</c:v>
                </c:pt>
                <c:pt idx="1">
                  <c:v>1.4949643288523535</c:v>
                </c:pt>
              </c:numCache>
            </c:numRef>
          </c:val>
          <c:extLst>
            <c:ext xmlns:c16="http://schemas.microsoft.com/office/drawing/2014/chart" uri="{C3380CC4-5D6E-409C-BE32-E72D297353CC}">
              <c16:uniqueId val="{00000001-118F-F54F-8DFC-4982D472BB33}"/>
            </c:ext>
          </c:extLst>
        </c:ser>
        <c:ser>
          <c:idx val="2"/>
          <c:order val="2"/>
          <c:tx>
            <c:v>Aktywów obrotowych</c:v>
          </c:tx>
          <c:spPr>
            <a:pattFill prst="narHorz">
              <a:fgClr>
                <a:schemeClr val="accent6">
                  <a:tint val="65000"/>
                </a:schemeClr>
              </a:fgClr>
              <a:bgClr>
                <a:schemeClr val="accent6">
                  <a:tint val="65000"/>
                  <a:lumMod val="20000"/>
                  <a:lumOff val="80000"/>
                </a:schemeClr>
              </a:bgClr>
            </a:pattFill>
            <a:ln>
              <a:noFill/>
            </a:ln>
            <a:effectLst>
              <a:innerShdw blurRad="114300">
                <a:schemeClr val="accent6">
                  <a:tint val="6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'Analiza sprawności działania'!$M$15:$N$15</c:f>
              <c:numCache>
                <c:formatCode>0.000</c:formatCode>
                <c:ptCount val="2"/>
                <c:pt idx="0">
                  <c:v>3.0284229174372652</c:v>
                </c:pt>
                <c:pt idx="1">
                  <c:v>4.4460266184261537</c:v>
                </c:pt>
              </c:numCache>
            </c:numRef>
          </c:val>
          <c:extLst>
            <c:ext xmlns:c16="http://schemas.microsoft.com/office/drawing/2014/chart" uri="{C3380CC4-5D6E-409C-BE32-E72D297353CC}">
              <c16:uniqueId val="{00000002-118F-F54F-8DFC-4982D472BB33}"/>
            </c:ext>
          </c:extLst>
        </c:ser>
        <c:dLbls>
          <c:dLblPos val="outEnd"/>
          <c:showLegendKey val="0"/>
          <c:showVal val="1"/>
          <c:showCatName val="0"/>
          <c:showSerName val="0"/>
          <c:showPercent val="0"/>
          <c:showBubbleSize val="0"/>
        </c:dLbls>
        <c:gapWidth val="164"/>
        <c:overlap val="-22"/>
        <c:axId val="781633871"/>
        <c:axId val="781625967"/>
      </c:barChart>
      <c:catAx>
        <c:axId val="78163387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Wskaźniki rotacji zapasów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1"/>
          <c:order val="0"/>
          <c:tx>
            <c:v>Zapasów</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'Analiza sprawności działania'!$M$17:$N$17</c:f>
              <c:numCache>
                <c:formatCode>0.000</c:formatCode>
                <c:ptCount val="2"/>
                <c:pt idx="0">
                  <c:v>10.934209601462008</c:v>
                </c:pt>
                <c:pt idx="1">
                  <c:v>13.387728103964827</c:v>
                </c:pt>
              </c:numCache>
            </c:numRef>
          </c:val>
          <c:extLst>
            <c:ext xmlns:c16="http://schemas.microsoft.com/office/drawing/2014/chart" uri="{C3380CC4-5D6E-409C-BE32-E72D297353CC}">
              <c16:uniqueId val="{00000001-D473-364C-BE88-FBCDFC0D1363}"/>
            </c:ext>
          </c:extLst>
        </c:ser>
        <c:ser>
          <c:idx val="2"/>
          <c:order val="1"/>
          <c:tx>
            <c:v>Zapasów w dniach</c:v>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'Analiza sprawności działania'!$M$19:$N$19</c:f>
              <c:numCache>
                <c:formatCode>0.000</c:formatCode>
                <c:ptCount val="2"/>
                <c:pt idx="0">
                  <c:v>33.381470934231587</c:v>
                </c:pt>
                <c:pt idx="1">
                  <c:v>27.263774492992869</c:v>
                </c:pt>
              </c:numCache>
            </c:numRef>
          </c:val>
          <c:extLst>
            <c:ext xmlns:c16="http://schemas.microsoft.com/office/drawing/2014/chart" uri="{C3380CC4-5D6E-409C-BE32-E72D297353CC}">
              <c16:uniqueId val="{00000002-D473-364C-BE88-FBCDFC0D1363}"/>
            </c:ext>
          </c:extLst>
        </c:ser>
        <c:dLbls>
          <c:dLblPos val="outEnd"/>
          <c:showLegendKey val="0"/>
          <c:showVal val="1"/>
          <c:showCatName val="0"/>
          <c:showSerName val="0"/>
          <c:showPercent val="0"/>
          <c:showBubbleSize val="0"/>
        </c:dLbls>
        <c:gapWidth val="219"/>
        <c:overlap val="-27"/>
        <c:axId val="781633871"/>
        <c:axId val="781625967"/>
      </c:barChart>
      <c:catAx>
        <c:axId val="78163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Wskaźniki rotacji należności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0"/>
          <c:order val="0"/>
          <c:tx>
            <c:v>Należności</c:v>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'Analiza sprawności działania'!$M$10:$N$10</c:f>
              <c:numCache>
                <c:formatCode>General</c:formatCode>
                <c:ptCount val="2"/>
                <c:pt idx="0">
                  <c:v>2021</c:v>
                </c:pt>
                <c:pt idx="1">
                  <c:v>2020</c:v>
                </c:pt>
              </c:numCache>
            </c:numRef>
          </c:cat>
          <c:val>
            <c:numRef>
              <c:f>'Analiza sprawności działania'!$M$21:$N$21</c:f>
              <c:numCache>
                <c:formatCode>0.000</c:formatCode>
                <c:ptCount val="2"/>
                <c:pt idx="0">
                  <c:v>7.2829888340082869</c:v>
                </c:pt>
                <c:pt idx="1">
                  <c:v>7.4640548396893571</c:v>
                </c:pt>
              </c:numCache>
            </c:numRef>
          </c:val>
          <c:extLst>
            <c:ext xmlns:c16="http://schemas.microsoft.com/office/drawing/2014/chart" uri="{C3380CC4-5D6E-409C-BE32-E72D297353CC}">
              <c16:uniqueId val="{00000000-43C0-824E-A1F9-0068B832265C}"/>
            </c:ext>
          </c:extLst>
        </c:ser>
        <c:ser>
          <c:idx val="1"/>
          <c:order val="1"/>
          <c:tx>
            <c:v>Należności w dniach</c:v>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'Analiza sprawności działania'!$M$23:$N$23</c:f>
              <c:numCache>
                <c:formatCode>0.000</c:formatCode>
                <c:ptCount val="2"/>
                <c:pt idx="0">
                  <c:v>50.116786983884133</c:v>
                </c:pt>
                <c:pt idx="1">
                  <c:v>48.901034067856706</c:v>
                </c:pt>
              </c:numCache>
            </c:numRef>
          </c:val>
          <c:extLst>
            <c:ext xmlns:c16="http://schemas.microsoft.com/office/drawing/2014/chart" uri="{C3380CC4-5D6E-409C-BE32-E72D297353CC}">
              <c16:uniqueId val="{00000001-43C0-824E-A1F9-0068B832265C}"/>
            </c:ext>
          </c:extLst>
        </c:ser>
        <c:dLbls>
          <c:dLblPos val="outEnd"/>
          <c:showLegendKey val="0"/>
          <c:showVal val="1"/>
          <c:showCatName val="0"/>
          <c:showSerName val="0"/>
          <c:showPercent val="0"/>
          <c:showBubbleSize val="0"/>
        </c:dLbls>
        <c:gapWidth val="219"/>
        <c:overlap val="-27"/>
        <c:axId val="781633871"/>
        <c:axId val="781625967"/>
      </c:barChart>
      <c:catAx>
        <c:axId val="78163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Wskaźniki rotacji zobowiązań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0"/>
          <c:order val="0"/>
          <c:tx>
            <c:v>Zobowiązań</c:v>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'Analiza sprawności działania'!$M$10:$N$10</c:f>
              <c:numCache>
                <c:formatCode>General</c:formatCode>
                <c:ptCount val="2"/>
                <c:pt idx="0">
                  <c:v>2021</c:v>
                </c:pt>
                <c:pt idx="1">
                  <c:v>2020</c:v>
                </c:pt>
              </c:numCache>
            </c:numRef>
          </c:cat>
          <c:val>
            <c:numRef>
              <c:f>'Analiza sprawności działania'!$M$25:$N$25</c:f>
              <c:numCache>
                <c:formatCode>0.000</c:formatCode>
                <c:ptCount val="2"/>
                <c:pt idx="0">
                  <c:v>3.6544546896106183</c:v>
                </c:pt>
                <c:pt idx="1">
                  <c:v>4.2315771349862255</c:v>
                </c:pt>
              </c:numCache>
            </c:numRef>
          </c:val>
          <c:extLst>
            <c:ext xmlns:c16="http://schemas.microsoft.com/office/drawing/2014/chart" uri="{C3380CC4-5D6E-409C-BE32-E72D297353CC}">
              <c16:uniqueId val="{00000000-4988-EB4B-935E-366DD9298C98}"/>
            </c:ext>
          </c:extLst>
        </c:ser>
        <c:ser>
          <c:idx val="1"/>
          <c:order val="1"/>
          <c:tx>
            <c:v>Zobowiązań w dniach</c:v>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'Analiza sprawności działania'!$M$27:$N$27</c:f>
              <c:numCache>
                <c:formatCode>0.000</c:formatCode>
                <c:ptCount val="2"/>
                <c:pt idx="0">
                  <c:v>99.878102480698885</c:v>
                </c:pt>
                <c:pt idx="1">
                  <c:v>86.256255848964486</c:v>
                </c:pt>
              </c:numCache>
            </c:numRef>
          </c:val>
          <c:extLst>
            <c:ext xmlns:c16="http://schemas.microsoft.com/office/drawing/2014/chart" uri="{C3380CC4-5D6E-409C-BE32-E72D297353CC}">
              <c16:uniqueId val="{00000001-4988-EB4B-935E-366DD9298C98}"/>
            </c:ext>
          </c:extLst>
        </c:ser>
        <c:dLbls>
          <c:dLblPos val="outEnd"/>
          <c:showLegendKey val="0"/>
          <c:showVal val="1"/>
          <c:showCatName val="0"/>
          <c:showSerName val="0"/>
          <c:showPercent val="0"/>
          <c:showBubbleSize val="0"/>
        </c:dLbls>
        <c:gapWidth val="219"/>
        <c:overlap val="-27"/>
        <c:axId val="781633871"/>
        <c:axId val="781625967"/>
      </c:barChart>
      <c:catAx>
        <c:axId val="78163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Cykl środków</a:t>
            </a:r>
            <a:r>
              <a:rPr lang="en-US" baseline="0"/>
              <a:t> pieniężnych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1"/>
          <c:order val="0"/>
          <c:spPr>
            <a:ln w="28575" cap="rnd">
              <a:solidFill>
                <a:schemeClr val="accent6">
                  <a:tint val="77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'Analiza sprawności działania'!$M$10:$N$10</c:f>
              <c:numCache>
                <c:formatCode>General</c:formatCode>
                <c:ptCount val="2"/>
                <c:pt idx="0">
                  <c:v>2021</c:v>
                </c:pt>
                <c:pt idx="1">
                  <c:v>2020</c:v>
                </c:pt>
              </c:numCache>
            </c:numRef>
          </c:cat>
          <c:val>
            <c:numRef>
              <c:f>'Analiza sprawności działania'!$M$29:$N$29</c:f>
              <c:numCache>
                <c:formatCode>0.000</c:formatCode>
                <c:ptCount val="2"/>
                <c:pt idx="0">
                  <c:v>-16.379844562583173</c:v>
                </c:pt>
                <c:pt idx="1">
                  <c:v>-10.091447288114907</c:v>
                </c:pt>
              </c:numCache>
            </c:numRef>
          </c:val>
          <c:smooth val="0"/>
          <c:extLst>
            <c:ext xmlns:c16="http://schemas.microsoft.com/office/drawing/2014/chart" uri="{C3380CC4-5D6E-409C-BE32-E72D297353CC}">
              <c16:uniqueId val="{00000001-498F-494B-8285-F3635187F7D9}"/>
            </c:ext>
          </c:extLst>
        </c:ser>
        <c:dLbls>
          <c:showLegendKey val="0"/>
          <c:showVal val="1"/>
          <c:showCatName val="0"/>
          <c:showSerName val="0"/>
          <c:showPercent val="0"/>
          <c:showBubbleSize val="0"/>
        </c:dLbls>
        <c:smooth val="0"/>
        <c:axId val="781633871"/>
        <c:axId val="781625967"/>
      </c:lineChart>
      <c:catAx>
        <c:axId val="78163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816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Przeciętny stan zasobów</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1"/>
          <c:order val="0"/>
          <c:tx>
            <c:v>Aktywa ogółem</c:v>
          </c:tx>
          <c:spPr>
            <a:solidFill>
              <a:schemeClr val="accent6">
                <a:shade val="7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sprawności działania'!$R$2:$S$2</c:f>
              <c:numCache>
                <c:formatCode>General</c:formatCode>
                <c:ptCount val="2"/>
                <c:pt idx="0">
                  <c:v>2021</c:v>
                </c:pt>
                <c:pt idx="1">
                  <c:v>2020</c:v>
                </c:pt>
              </c:numCache>
            </c:numRef>
          </c:cat>
          <c:val>
            <c:numRef>
              <c:f>'Analiza sprawności działania'!$R$3:$S$3</c:f>
              <c:numCache>
                <c:formatCode>General</c:formatCode>
                <c:ptCount val="2"/>
                <c:pt idx="0">
                  <c:v>169226.5</c:v>
                </c:pt>
                <c:pt idx="1">
                  <c:v>153774</c:v>
                </c:pt>
              </c:numCache>
            </c:numRef>
          </c:val>
          <c:extLst>
            <c:ext xmlns:c16="http://schemas.microsoft.com/office/drawing/2014/chart" uri="{C3380CC4-5D6E-409C-BE32-E72D297353CC}">
              <c16:uniqueId val="{00000000-1F66-3043-9B37-CB959FF038A8}"/>
            </c:ext>
          </c:extLst>
        </c:ser>
        <c:ser>
          <c:idx val="2"/>
          <c:order val="1"/>
          <c:tx>
            <c:v>Aktywa trwałe</c:v>
          </c:tx>
          <c:spPr>
            <a:solidFill>
              <a:schemeClr val="accent6">
                <a:shade val="9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sprawności działania'!$R$2:$S$2</c:f>
              <c:numCache>
                <c:formatCode>General</c:formatCode>
                <c:ptCount val="2"/>
                <c:pt idx="0">
                  <c:v>2021</c:v>
                </c:pt>
                <c:pt idx="1">
                  <c:v>2020</c:v>
                </c:pt>
              </c:numCache>
            </c:numRef>
          </c:cat>
          <c:val>
            <c:numRef>
              <c:f>'Analiza sprawności działania'!$R$4:$S$4</c:f>
              <c:numCache>
                <c:formatCode>General</c:formatCode>
                <c:ptCount val="2"/>
                <c:pt idx="0">
                  <c:v>117859.5</c:v>
                </c:pt>
                <c:pt idx="1">
                  <c:v>115079</c:v>
                </c:pt>
              </c:numCache>
            </c:numRef>
          </c:val>
          <c:extLst>
            <c:ext xmlns:c16="http://schemas.microsoft.com/office/drawing/2014/chart" uri="{C3380CC4-5D6E-409C-BE32-E72D297353CC}">
              <c16:uniqueId val="{00000001-1F66-3043-9B37-CB959FF038A8}"/>
            </c:ext>
          </c:extLst>
        </c:ser>
        <c:ser>
          <c:idx val="0"/>
          <c:order val="2"/>
          <c:tx>
            <c:v>Aktywa obrotowe</c:v>
          </c:tx>
          <c:spPr>
            <a:solidFill>
              <a:schemeClr val="accent6">
                <a:shade val="5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'Analiza sprawności działania'!$R$5:$S$5</c:f>
              <c:numCache>
                <c:formatCode>General</c:formatCode>
                <c:ptCount val="2"/>
                <c:pt idx="0">
                  <c:v>51367</c:v>
                </c:pt>
                <c:pt idx="1">
                  <c:v>38695</c:v>
                </c:pt>
              </c:numCache>
            </c:numRef>
          </c:val>
          <c:extLst>
            <c:ext xmlns:c16="http://schemas.microsoft.com/office/drawing/2014/chart" uri="{C3380CC4-5D6E-409C-BE32-E72D297353CC}">
              <c16:uniqueId val="{00000002-1F66-3043-9B37-CB959FF038A8}"/>
            </c:ext>
          </c:extLst>
        </c:ser>
        <c:ser>
          <c:idx val="3"/>
          <c:order val="3"/>
          <c:tx>
            <c:v>Zapasy</c:v>
          </c:tx>
          <c:spPr>
            <a:solidFill>
              <a:schemeClr val="accent6">
                <a:tint val="9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'Analiza sprawności działania'!$R$6:$S$6</c:f>
              <c:numCache>
                <c:formatCode>General</c:formatCode>
                <c:ptCount val="2"/>
                <c:pt idx="0">
                  <c:v>14227</c:v>
                </c:pt>
                <c:pt idx="1">
                  <c:v>12850.5</c:v>
                </c:pt>
              </c:numCache>
            </c:numRef>
          </c:val>
          <c:extLst>
            <c:ext xmlns:c16="http://schemas.microsoft.com/office/drawing/2014/chart" uri="{C3380CC4-5D6E-409C-BE32-E72D297353CC}">
              <c16:uniqueId val="{00000003-1F66-3043-9B37-CB959FF038A8}"/>
            </c:ext>
          </c:extLst>
        </c:ser>
        <c:ser>
          <c:idx val="4"/>
          <c:order val="4"/>
          <c:tx>
            <c:v>Należności</c:v>
          </c:tx>
          <c:spPr>
            <a:solidFill>
              <a:schemeClr val="accent6">
                <a:tint val="7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'Analiza sprawności działania'!$R$7:$S$7</c:f>
              <c:numCache>
                <c:formatCode>General</c:formatCode>
                <c:ptCount val="2"/>
                <c:pt idx="0">
                  <c:v>21359.5</c:v>
                </c:pt>
                <c:pt idx="1">
                  <c:v>23049</c:v>
                </c:pt>
              </c:numCache>
            </c:numRef>
          </c:val>
          <c:extLst>
            <c:ext xmlns:c16="http://schemas.microsoft.com/office/drawing/2014/chart" uri="{C3380CC4-5D6E-409C-BE32-E72D297353CC}">
              <c16:uniqueId val="{00000004-1F66-3043-9B37-CB959FF038A8}"/>
            </c:ext>
          </c:extLst>
        </c:ser>
        <c:ser>
          <c:idx val="5"/>
          <c:order val="5"/>
          <c:tx>
            <c:v>Zobowiązania</c:v>
          </c:tx>
          <c:spPr>
            <a:solidFill>
              <a:schemeClr val="accent6">
                <a:tint val="5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'Analiza sprawności działania'!$R$8:$S$8</c:f>
              <c:numCache>
                <c:formatCode>General</c:formatCode>
                <c:ptCount val="2"/>
                <c:pt idx="0">
                  <c:v>42567.5</c:v>
                </c:pt>
                <c:pt idx="1">
                  <c:v>40656</c:v>
                </c:pt>
              </c:numCache>
            </c:numRef>
          </c:val>
          <c:extLst>
            <c:ext xmlns:c16="http://schemas.microsoft.com/office/drawing/2014/chart" uri="{C3380CC4-5D6E-409C-BE32-E72D297353CC}">
              <c16:uniqueId val="{00000005-1F66-3043-9B37-CB959FF038A8}"/>
            </c:ext>
          </c:extLst>
        </c:ser>
        <c:dLbls>
          <c:dLblPos val="outEnd"/>
          <c:showLegendKey val="0"/>
          <c:showVal val="1"/>
          <c:showCatName val="0"/>
          <c:showSerName val="0"/>
          <c:showPercent val="0"/>
          <c:showBubbleSize val="0"/>
        </c:dLbls>
        <c:gapWidth val="444"/>
        <c:overlap val="-90"/>
        <c:axId val="781633871"/>
        <c:axId val="781625967"/>
      </c:barChart>
      <c:catAx>
        <c:axId val="78163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781625967"/>
        <c:crosses val="autoZero"/>
        <c:auto val="1"/>
        <c:lblAlgn val="ctr"/>
        <c:lblOffset val="100"/>
        <c:noMultiLvlLbl val="0"/>
      </c:catAx>
      <c:valAx>
        <c:axId val="781625967"/>
        <c:scaling>
          <c:orientation val="minMax"/>
        </c:scaling>
        <c:delete val="1"/>
        <c:axPos val="l"/>
        <c:numFmt formatCode="General" sourceLinked="1"/>
        <c:majorTickMark val="none"/>
        <c:minorTickMark val="none"/>
        <c:tickLblPos val="nextTo"/>
        <c:crossAx val="781633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pl-PL"/>
              <a:t>Wskaźniki rentowności</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pl-PL"/>
        </a:p>
      </c:txPr>
    </c:title>
    <c:autoTitleDeleted val="0"/>
    <c:plotArea>
      <c:layout/>
      <c:barChart>
        <c:barDir val="col"/>
        <c:grouping val="clustered"/>
        <c:varyColors val="0"/>
        <c:ser>
          <c:idx val="0"/>
          <c:order val="0"/>
          <c:tx>
            <c:v>Sprzedaży</c:v>
          </c:tx>
          <c:spPr>
            <a:pattFill prst="narHorz">
              <a:fgClr>
                <a:schemeClr val="accent6">
                  <a:tint val="65000"/>
                </a:schemeClr>
              </a:fgClr>
              <a:bgClr>
                <a:schemeClr val="accent6">
                  <a:tint val="65000"/>
                  <a:lumMod val="20000"/>
                  <a:lumOff val="80000"/>
                </a:schemeClr>
              </a:bgClr>
            </a:pattFill>
            <a:ln>
              <a:noFill/>
            </a:ln>
            <a:effectLst>
              <a:innerShdw blurRad="114300">
                <a:schemeClr val="accent6">
                  <a:tint val="6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rentowności'!$Q$3:$S$3</c:f>
              <c:numCache>
                <c:formatCode>General</c:formatCode>
                <c:ptCount val="3"/>
                <c:pt idx="0">
                  <c:v>2021</c:v>
                </c:pt>
                <c:pt idx="1">
                  <c:v>2020</c:v>
                </c:pt>
                <c:pt idx="2">
                  <c:v>2019</c:v>
                </c:pt>
              </c:numCache>
            </c:numRef>
          </c:cat>
          <c:val>
            <c:numRef>
              <c:f>'Analiza rentowności'!$Q$5:$S$5</c:f>
              <c:numCache>
                <c:formatCode>0.00%</c:formatCode>
                <c:ptCount val="3"/>
                <c:pt idx="0">
                  <c:v>3.2360295961069936E-2</c:v>
                </c:pt>
                <c:pt idx="1">
                  <c:v>3.9246914943704622E-2</c:v>
                </c:pt>
                <c:pt idx="2">
                  <c:v>3.6931987226530731E-2</c:v>
                </c:pt>
              </c:numCache>
            </c:numRef>
          </c:val>
          <c:extLst>
            <c:ext xmlns:c16="http://schemas.microsoft.com/office/drawing/2014/chart" uri="{C3380CC4-5D6E-409C-BE32-E72D297353CC}">
              <c16:uniqueId val="{00000000-D714-6B49-AD60-B8207FA5E94C}"/>
            </c:ext>
          </c:extLst>
        </c:ser>
        <c:ser>
          <c:idx val="1"/>
          <c:order val="1"/>
          <c:tx>
            <c:v>Majątku</c:v>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rentowności'!$Q$3:$S$3</c:f>
              <c:numCache>
                <c:formatCode>General</c:formatCode>
                <c:ptCount val="3"/>
                <c:pt idx="0">
                  <c:v>2021</c:v>
                </c:pt>
                <c:pt idx="1">
                  <c:v>2020</c:v>
                </c:pt>
                <c:pt idx="2">
                  <c:v>2019</c:v>
                </c:pt>
              </c:numCache>
            </c:numRef>
          </c:cat>
          <c:val>
            <c:numRef>
              <c:f>'Analiza rentowności'!$Q$7:$S$7</c:f>
              <c:numCache>
                <c:formatCode>0.00%</c:formatCode>
                <c:ptCount val="3"/>
                <c:pt idx="0">
                  <c:v>2.7565889265511973E-2</c:v>
                </c:pt>
                <c:pt idx="1">
                  <c:v>4.3327600811109111E-2</c:v>
                </c:pt>
                <c:pt idx="2">
                  <c:v>3.6819763762919212E-2</c:v>
                </c:pt>
              </c:numCache>
            </c:numRef>
          </c:val>
          <c:extLst>
            <c:ext xmlns:c16="http://schemas.microsoft.com/office/drawing/2014/chart" uri="{C3380CC4-5D6E-409C-BE32-E72D297353CC}">
              <c16:uniqueId val="{00000003-D714-6B49-AD60-B8207FA5E94C}"/>
            </c:ext>
          </c:extLst>
        </c:ser>
        <c:ser>
          <c:idx val="2"/>
          <c:order val="2"/>
          <c:tx>
            <c:v>Kapitału własnego</c:v>
          </c:tx>
          <c:spPr>
            <a:pattFill prst="narHorz">
              <a:fgClr>
                <a:schemeClr val="accent6">
                  <a:shade val="65000"/>
                </a:schemeClr>
              </a:fgClr>
              <a:bgClr>
                <a:schemeClr val="accent6">
                  <a:shade val="65000"/>
                  <a:lumMod val="20000"/>
                  <a:lumOff val="80000"/>
                </a:schemeClr>
              </a:bgClr>
            </a:pattFill>
            <a:ln>
              <a:noFill/>
            </a:ln>
            <a:effectLst>
              <a:innerShdw blurRad="114300">
                <a:schemeClr val="accent6">
                  <a:shade val="6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'Analiza rentowności'!$Q$17:$S$17</c:f>
              <c:numCache>
                <c:formatCode>0.00%</c:formatCode>
                <c:ptCount val="3"/>
                <c:pt idx="0">
                  <c:v>5.1950464396284833E-2</c:v>
                </c:pt>
                <c:pt idx="1">
                  <c:v>8.2537742191797561E-2</c:v>
                </c:pt>
                <c:pt idx="2">
                  <c:v>7.2202259390429901E-2</c:v>
                </c:pt>
              </c:numCache>
            </c:numRef>
          </c:val>
          <c:extLst>
            <c:ext xmlns:c16="http://schemas.microsoft.com/office/drawing/2014/chart" uri="{C3380CC4-5D6E-409C-BE32-E72D297353CC}">
              <c16:uniqueId val="{00000004-D714-6B49-AD60-B8207FA5E94C}"/>
            </c:ext>
          </c:extLst>
        </c:ser>
        <c:dLbls>
          <c:dLblPos val="outEnd"/>
          <c:showLegendKey val="0"/>
          <c:showVal val="1"/>
          <c:showCatName val="0"/>
          <c:showSerName val="0"/>
          <c:showPercent val="0"/>
          <c:showBubbleSize val="0"/>
        </c:dLbls>
        <c:gapWidth val="164"/>
        <c:overlap val="-22"/>
        <c:axId val="481663407"/>
        <c:axId val="481663823"/>
        <c:extLst/>
      </c:barChart>
      <c:catAx>
        <c:axId val="48166340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81663823"/>
        <c:crosses val="autoZero"/>
        <c:auto val="1"/>
        <c:lblAlgn val="ctr"/>
        <c:lblOffset val="100"/>
        <c:noMultiLvlLbl val="0"/>
      </c:catAx>
      <c:valAx>
        <c:axId val="4816638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816634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pl-PL"/>
              <a:t>gotówkowa rentowność</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pl-PL"/>
        </a:p>
      </c:txPr>
    </c:title>
    <c:autoTitleDeleted val="0"/>
    <c:plotArea>
      <c:layout/>
      <c:barChart>
        <c:barDir val="col"/>
        <c:grouping val="clustered"/>
        <c:varyColors val="0"/>
        <c:ser>
          <c:idx val="0"/>
          <c:order val="0"/>
          <c:tx>
            <c:v>Kapitału własnego</c:v>
          </c:tx>
          <c:spPr>
            <a:pattFill prst="narHorz">
              <a:fgClr>
                <a:schemeClr val="accent6">
                  <a:tint val="77000"/>
                </a:schemeClr>
              </a:fgClr>
              <a:bgClr>
                <a:schemeClr val="accent6">
                  <a:tint val="77000"/>
                  <a:lumMod val="20000"/>
                  <a:lumOff val="80000"/>
                </a:schemeClr>
              </a:bgClr>
            </a:pattFill>
            <a:ln>
              <a:noFill/>
            </a:ln>
            <a:effectLst>
              <a:innerShdw blurRad="114300">
                <a:schemeClr val="accent6">
                  <a:tint val="77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rentowności'!$Q$3:$S$3</c:f>
              <c:numCache>
                <c:formatCode>General</c:formatCode>
                <c:ptCount val="3"/>
                <c:pt idx="0">
                  <c:v>2021</c:v>
                </c:pt>
                <c:pt idx="1">
                  <c:v>2020</c:v>
                </c:pt>
                <c:pt idx="2">
                  <c:v>2019</c:v>
                </c:pt>
              </c:numCache>
            </c:numRef>
          </c:cat>
          <c:val>
            <c:numRef>
              <c:f>'Analiza rentowności'!$Q$19:$S$19</c:f>
              <c:numCache>
                <c:formatCode>0.00%</c:formatCode>
                <c:ptCount val="3"/>
                <c:pt idx="0">
                  <c:v>0.12458204334365325</c:v>
                </c:pt>
                <c:pt idx="1">
                  <c:v>0.14309638775135994</c:v>
                </c:pt>
                <c:pt idx="2">
                  <c:v>0.14038466509836361</c:v>
                </c:pt>
              </c:numCache>
            </c:numRef>
          </c:val>
          <c:extLst>
            <c:ext xmlns:c16="http://schemas.microsoft.com/office/drawing/2014/chart" uri="{C3380CC4-5D6E-409C-BE32-E72D297353CC}">
              <c16:uniqueId val="{00000000-8FFE-3B4B-9AEF-A0735A970928}"/>
            </c:ext>
          </c:extLst>
        </c:ser>
        <c:ser>
          <c:idx val="1"/>
          <c:order val="1"/>
          <c:tx>
            <c:v>Kapitału obcego</c:v>
          </c:tx>
          <c:spPr>
            <a:pattFill prst="narHorz">
              <a:fgClr>
                <a:schemeClr val="accent6">
                  <a:shade val="76000"/>
                </a:schemeClr>
              </a:fgClr>
              <a:bgClr>
                <a:schemeClr val="accent6">
                  <a:shade val="76000"/>
                  <a:lumMod val="20000"/>
                  <a:lumOff val="80000"/>
                </a:schemeClr>
              </a:bgClr>
            </a:pattFill>
            <a:ln>
              <a:noFill/>
            </a:ln>
            <a:effectLst>
              <a:innerShdw blurRad="114300">
                <a:schemeClr val="accent6">
                  <a:shade val="76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rentowności'!$Q$3:$S$3</c:f>
              <c:numCache>
                <c:formatCode>General</c:formatCode>
                <c:ptCount val="3"/>
                <c:pt idx="0">
                  <c:v>2021</c:v>
                </c:pt>
                <c:pt idx="1">
                  <c:v>2020</c:v>
                </c:pt>
                <c:pt idx="2">
                  <c:v>2019</c:v>
                </c:pt>
              </c:numCache>
            </c:numRef>
          </c:cat>
          <c:val>
            <c:numRef>
              <c:f>'Analiza rentowności'!$Q$21:$S$21</c:f>
              <c:numCache>
                <c:formatCode>0.00%</c:formatCode>
                <c:ptCount val="3"/>
                <c:pt idx="0">
                  <c:v>0.14083554020789341</c:v>
                </c:pt>
                <c:pt idx="1">
                  <c:v>0.15812294849454958</c:v>
                </c:pt>
                <c:pt idx="2">
                  <c:v>0.14608721383800069</c:v>
                </c:pt>
              </c:numCache>
            </c:numRef>
          </c:val>
          <c:extLst>
            <c:ext xmlns:c16="http://schemas.microsoft.com/office/drawing/2014/chart" uri="{C3380CC4-5D6E-409C-BE32-E72D297353CC}">
              <c16:uniqueId val="{00000001-8FFE-3B4B-9AEF-A0735A970928}"/>
            </c:ext>
          </c:extLst>
        </c:ser>
        <c:dLbls>
          <c:dLblPos val="outEnd"/>
          <c:showLegendKey val="0"/>
          <c:showVal val="1"/>
          <c:showCatName val="0"/>
          <c:showSerName val="0"/>
          <c:showPercent val="0"/>
          <c:showBubbleSize val="0"/>
        </c:dLbls>
        <c:gapWidth val="164"/>
        <c:overlap val="-22"/>
        <c:axId val="481663407"/>
        <c:axId val="481663823"/>
        <c:extLst/>
      </c:barChart>
      <c:catAx>
        <c:axId val="48166340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81663823"/>
        <c:crosses val="autoZero"/>
        <c:auto val="1"/>
        <c:lblAlgn val="ctr"/>
        <c:lblOffset val="100"/>
        <c:noMultiLvlLbl val="0"/>
      </c:catAx>
      <c:valAx>
        <c:axId val="4816638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816634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barChart>
        <c:barDir val="col"/>
        <c:grouping val="clustered"/>
        <c:varyColors val="0"/>
        <c:ser>
          <c:idx val="0"/>
          <c:order val="0"/>
          <c:tx>
            <c:v>Rentowność aktywów trwałych</c:v>
          </c:tx>
          <c:spPr>
            <a:solidFill>
              <a:schemeClr val="accent6">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rentowności'!$Q$3:$S$3</c:f>
              <c:numCache>
                <c:formatCode>General</c:formatCode>
                <c:ptCount val="3"/>
                <c:pt idx="0">
                  <c:v>2021</c:v>
                </c:pt>
                <c:pt idx="1">
                  <c:v>2020</c:v>
                </c:pt>
                <c:pt idx="2">
                  <c:v>2019</c:v>
                </c:pt>
              </c:numCache>
            </c:numRef>
          </c:cat>
          <c:val>
            <c:numRef>
              <c:f>'Analiza rentowności'!$Q$9:$S$9</c:f>
              <c:numCache>
                <c:formatCode>0.00%</c:formatCode>
                <c:ptCount val="3"/>
                <c:pt idx="0">
                  <c:v>4.236375265089036E-2</c:v>
                </c:pt>
                <c:pt idx="1">
                  <c:v>5.7763215303145668E-2</c:v>
                </c:pt>
                <c:pt idx="2">
                  <c:v>4.9317100302824303E-2</c:v>
                </c:pt>
              </c:numCache>
            </c:numRef>
          </c:val>
          <c:extLst>
            <c:ext xmlns:c16="http://schemas.microsoft.com/office/drawing/2014/chart" uri="{C3380CC4-5D6E-409C-BE32-E72D297353CC}">
              <c16:uniqueId val="{00000000-350F-4A4A-BB6B-7C3313CA1D94}"/>
            </c:ext>
          </c:extLst>
        </c:ser>
        <c:ser>
          <c:idx val="2"/>
          <c:order val="1"/>
          <c:tx>
            <c:v>Rentowność aktywów obrotowych</c:v>
          </c:tx>
          <c:spPr>
            <a:solidFill>
              <a:schemeClr val="accent6">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rentowności'!$Q$3:$S$3</c:f>
              <c:numCache>
                <c:formatCode>General</c:formatCode>
                <c:ptCount val="3"/>
                <c:pt idx="0">
                  <c:v>2021</c:v>
                </c:pt>
                <c:pt idx="1">
                  <c:v>2020</c:v>
                </c:pt>
                <c:pt idx="2">
                  <c:v>2019</c:v>
                </c:pt>
              </c:numCache>
            </c:numRef>
          </c:cat>
          <c:val>
            <c:numRef>
              <c:f>'Analiza rentowności'!$Q$11:$S$11</c:f>
              <c:numCache>
                <c:formatCode>0.00%</c:formatCode>
                <c:ptCount val="3"/>
                <c:pt idx="0">
                  <c:v>7.8916427597234634E-2</c:v>
                </c:pt>
                <c:pt idx="1">
                  <c:v>0.17337270509693156</c:v>
                </c:pt>
                <c:pt idx="2">
                  <c:v>0.14529847834568865</c:v>
                </c:pt>
              </c:numCache>
            </c:numRef>
          </c:val>
          <c:extLst>
            <c:ext xmlns:c16="http://schemas.microsoft.com/office/drawing/2014/chart" uri="{C3380CC4-5D6E-409C-BE32-E72D297353CC}">
              <c16:uniqueId val="{00000002-350F-4A4A-BB6B-7C3313CA1D94}"/>
            </c:ext>
          </c:extLst>
        </c:ser>
        <c:dLbls>
          <c:dLblPos val="outEnd"/>
          <c:showLegendKey val="0"/>
          <c:showVal val="1"/>
          <c:showCatName val="0"/>
          <c:showSerName val="0"/>
          <c:showPercent val="0"/>
          <c:showBubbleSize val="0"/>
        </c:dLbls>
        <c:gapWidth val="444"/>
        <c:overlap val="-90"/>
        <c:axId val="481663407"/>
        <c:axId val="481663823"/>
        <c:extLst/>
      </c:barChart>
      <c:catAx>
        <c:axId val="481663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481663823"/>
        <c:crosses val="autoZero"/>
        <c:auto val="1"/>
        <c:lblAlgn val="ctr"/>
        <c:lblOffset val="100"/>
        <c:noMultiLvlLbl val="0"/>
      </c:catAx>
      <c:valAx>
        <c:axId val="481663823"/>
        <c:scaling>
          <c:orientation val="minMax"/>
        </c:scaling>
        <c:delete val="1"/>
        <c:axPos val="l"/>
        <c:numFmt formatCode="0.00%" sourceLinked="1"/>
        <c:majorTickMark val="none"/>
        <c:minorTickMark val="none"/>
        <c:tickLblPos val="nextTo"/>
        <c:crossAx val="4816634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barChart>
        <c:barDir val="col"/>
        <c:grouping val="clustered"/>
        <c:varyColors val="0"/>
        <c:ser>
          <c:idx val="0"/>
          <c:order val="0"/>
          <c:tx>
            <c:v>Rentowność należności krótkoterminowych</c:v>
          </c:tx>
          <c:spPr>
            <a:solidFill>
              <a:schemeClr val="accent6">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rentowności'!$Q$3:$S$3</c:f>
              <c:numCache>
                <c:formatCode>General</c:formatCode>
                <c:ptCount val="3"/>
                <c:pt idx="0">
                  <c:v>2021</c:v>
                </c:pt>
                <c:pt idx="1">
                  <c:v>2020</c:v>
                </c:pt>
                <c:pt idx="2">
                  <c:v>2019</c:v>
                </c:pt>
              </c:numCache>
            </c:numRef>
          </c:cat>
          <c:val>
            <c:numRef>
              <c:f>'Analiza rentowności'!$Q$13:$S$13</c:f>
              <c:numCache>
                <c:formatCode>0.00%</c:formatCode>
                <c:ptCount val="3"/>
                <c:pt idx="0">
                  <c:v>0.23472908700923248</c:v>
                </c:pt>
                <c:pt idx="1">
                  <c:v>0.31739764020119399</c:v>
                </c:pt>
                <c:pt idx="2">
                  <c:v>0.22501510574018127</c:v>
                </c:pt>
              </c:numCache>
            </c:numRef>
          </c:val>
          <c:extLst>
            <c:ext xmlns:c16="http://schemas.microsoft.com/office/drawing/2014/chart" uri="{C3380CC4-5D6E-409C-BE32-E72D297353CC}">
              <c16:uniqueId val="{00000000-DF82-B64A-9A37-6A0CAF0B57DA}"/>
            </c:ext>
          </c:extLst>
        </c:ser>
        <c:ser>
          <c:idx val="2"/>
          <c:order val="1"/>
          <c:tx>
            <c:v>Rentowność rzeczowych aktywów trwałych</c:v>
          </c:tx>
          <c:spPr>
            <a:solidFill>
              <a:schemeClr val="accent6">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'Analiza rentowności'!$Q$3:$S$3</c:f>
              <c:numCache>
                <c:formatCode>General</c:formatCode>
                <c:ptCount val="3"/>
                <c:pt idx="0">
                  <c:v>2021</c:v>
                </c:pt>
                <c:pt idx="1">
                  <c:v>2020</c:v>
                </c:pt>
                <c:pt idx="2">
                  <c:v>2019</c:v>
                </c:pt>
              </c:numCache>
            </c:numRef>
          </c:cat>
          <c:val>
            <c:numRef>
              <c:f>'Analiza rentowności'!$Q$15:$S$15</c:f>
              <c:numCache>
                <c:formatCode>0.00%</c:formatCode>
                <c:ptCount val="3"/>
                <c:pt idx="0">
                  <c:v>6.3348644057132072E-2</c:v>
                </c:pt>
                <c:pt idx="1">
                  <c:v>8.6288642666359952E-2</c:v>
                </c:pt>
                <c:pt idx="2">
                  <c:v>7.6057948913457879E-2</c:v>
                </c:pt>
              </c:numCache>
            </c:numRef>
          </c:val>
          <c:extLst>
            <c:ext xmlns:c16="http://schemas.microsoft.com/office/drawing/2014/chart" uri="{C3380CC4-5D6E-409C-BE32-E72D297353CC}">
              <c16:uniqueId val="{00000001-DF82-B64A-9A37-6A0CAF0B57DA}"/>
            </c:ext>
          </c:extLst>
        </c:ser>
        <c:dLbls>
          <c:dLblPos val="outEnd"/>
          <c:showLegendKey val="0"/>
          <c:showVal val="1"/>
          <c:showCatName val="0"/>
          <c:showSerName val="0"/>
          <c:showPercent val="0"/>
          <c:showBubbleSize val="0"/>
        </c:dLbls>
        <c:gapWidth val="444"/>
        <c:overlap val="-90"/>
        <c:axId val="481663407"/>
        <c:axId val="481663823"/>
        <c:extLst/>
      </c:barChart>
      <c:catAx>
        <c:axId val="481663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481663823"/>
        <c:crosses val="autoZero"/>
        <c:auto val="1"/>
        <c:lblAlgn val="ctr"/>
        <c:lblOffset val="100"/>
        <c:noMultiLvlLbl val="0"/>
      </c:catAx>
      <c:valAx>
        <c:axId val="481663823"/>
        <c:scaling>
          <c:orientation val="minMax"/>
        </c:scaling>
        <c:delete val="1"/>
        <c:axPos val="l"/>
        <c:numFmt formatCode="0.00%" sourceLinked="1"/>
        <c:majorTickMark val="none"/>
        <c:minorTickMark val="none"/>
        <c:tickLblPos val="nextTo"/>
        <c:crossAx val="4816634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Reversed" id="26">
  <a:schemeClr val="accent6"/>
</cs:colorStyle>
</file>

<file path=xl/charts/colors2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withinLinearReversed" id="26">
  <a:schemeClr val="accent6"/>
</cs:colorStyle>
</file>

<file path=xl/charts/colors2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withinLinear" id="19">
  <a:schemeClr val="accent6"/>
</cs:colorStyle>
</file>

<file path=xl/charts/colors3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withinLinear" id="19">
  <a:schemeClr val="accent6"/>
</cs:colorStyle>
</file>

<file path=xl/charts/colors3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withinLinear" id="19">
  <a:schemeClr val="accent6"/>
</cs:colorStyle>
</file>

<file path=xl/charts/colors39.xml><?xml version="1.0" encoding="utf-8"?>
<cs:colorStyle xmlns:cs="http://schemas.microsoft.com/office/drawing/2012/chartStyle" xmlns:a="http://schemas.openxmlformats.org/drawingml/2006/main" meth="withinLinear" id="19">
  <a:schemeClr val="accent6"/>
</cs:colorStyle>
</file>

<file path=xl/charts/colors40.xml><?xml version="1.0" encoding="utf-8"?>
<cs:colorStyle xmlns:cs="http://schemas.microsoft.com/office/drawing/2012/chartStyle" xmlns:a="http://schemas.openxmlformats.org/drawingml/2006/main" meth="withinLinear" id="19">
  <a:schemeClr val="accent6"/>
</cs:colorStyle>
</file>

<file path=xl/charts/colors41.xml><?xml version="1.0" encoding="utf-8"?>
<cs:colorStyle xmlns:cs="http://schemas.microsoft.com/office/drawing/2012/chartStyle" xmlns:a="http://schemas.openxmlformats.org/drawingml/2006/main" meth="withinLinear" id="19">
  <a:schemeClr val="accent6"/>
</cs:colorStyle>
</file>

<file path=xl/charts/colors42.xml><?xml version="1.0" encoding="utf-8"?>
<cs:colorStyle xmlns:cs="http://schemas.microsoft.com/office/drawing/2012/chartStyle" xmlns:a="http://schemas.openxmlformats.org/drawingml/2006/main" meth="withinLinear" id="19">
  <a:schemeClr val="accent6"/>
</cs:colorStyle>
</file>

<file path=xl/charts/colors43.xml><?xml version="1.0" encoding="utf-8"?>
<cs:colorStyle xmlns:cs="http://schemas.microsoft.com/office/drawing/2012/chartStyle" xmlns:a="http://schemas.openxmlformats.org/drawingml/2006/main" meth="withinLinear" id="19">
  <a:schemeClr val="accent6"/>
</cs:colorStyle>
</file>

<file path=xl/charts/colors44.xml><?xml version="1.0" encoding="utf-8"?>
<cs:colorStyle xmlns:cs="http://schemas.microsoft.com/office/drawing/2012/chartStyle" xmlns:a="http://schemas.openxmlformats.org/drawingml/2006/main" meth="withinLinear" id="19">
  <a:schemeClr val="accent6"/>
</cs:colorStyle>
</file>

<file path=xl/charts/colors45.xml><?xml version="1.0" encoding="utf-8"?>
<cs:colorStyle xmlns:cs="http://schemas.microsoft.com/office/drawing/2012/chartStyle" xmlns:a="http://schemas.openxmlformats.org/drawingml/2006/main" meth="withinLinearReversed" id="26">
  <a:schemeClr val="accent6"/>
</cs:colorStyle>
</file>

<file path=xl/charts/colors46.xml><?xml version="1.0" encoding="utf-8"?>
<cs:colorStyle xmlns:cs="http://schemas.microsoft.com/office/drawing/2012/chartStyle" xmlns:a="http://schemas.openxmlformats.org/drawingml/2006/main" meth="withinLinearReversed" id="26">
  <a:schemeClr val="accent6"/>
</cs:colorStyle>
</file>

<file path=xl/charts/colors47.xml><?xml version="1.0" encoding="utf-8"?>
<cs:colorStyle xmlns:cs="http://schemas.microsoft.com/office/drawing/2012/chartStyle" xmlns:a="http://schemas.openxmlformats.org/drawingml/2006/main" meth="withinLinearReversed" id="26">
  <a:schemeClr val="accent6"/>
</cs:colorStyle>
</file>

<file path=xl/charts/colors4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image" Target="../media/image2.png"/><Relationship Id="rId5" Type="http://schemas.openxmlformats.org/officeDocument/2006/relationships/chart" Target="../charts/chart28.xml"/><Relationship Id="rId4" Type="http://schemas.openxmlformats.org/officeDocument/2006/relationships/chart" Target="../charts/chart2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6.xml"/><Relationship Id="rId3" Type="http://schemas.openxmlformats.org/officeDocument/2006/relationships/chart" Target="../charts/chart31.xml"/><Relationship Id="rId7" Type="http://schemas.openxmlformats.org/officeDocument/2006/relationships/chart" Target="../charts/chart35.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11" Type="http://schemas.openxmlformats.org/officeDocument/2006/relationships/image" Target="../media/image3.png"/><Relationship Id="rId5" Type="http://schemas.openxmlformats.org/officeDocument/2006/relationships/chart" Target="../charts/chart33.xml"/><Relationship Id="rId10" Type="http://schemas.openxmlformats.org/officeDocument/2006/relationships/chart" Target="../charts/chart38.xml"/><Relationship Id="rId4" Type="http://schemas.openxmlformats.org/officeDocument/2006/relationships/chart" Target="../charts/chart32.xml"/><Relationship Id="rId9" Type="http://schemas.openxmlformats.org/officeDocument/2006/relationships/chart" Target="../charts/chart3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1.xml"/><Relationship Id="rId7" Type="http://schemas.openxmlformats.org/officeDocument/2006/relationships/image" Target="../media/image4.png"/><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chart" Target="../charts/chart44.xml"/><Relationship Id="rId5" Type="http://schemas.openxmlformats.org/officeDocument/2006/relationships/chart" Target="../charts/chart43.xml"/><Relationship Id="rId4" Type="http://schemas.openxmlformats.org/officeDocument/2006/relationships/chart" Target="../charts/chart4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5" Type="http://schemas.openxmlformats.org/officeDocument/2006/relationships/image" Target="../media/image5.png"/><Relationship Id="rId4" Type="http://schemas.openxmlformats.org/officeDocument/2006/relationships/chart" Target="../charts/chart48.xml"/></Relationships>
</file>

<file path=xl/drawings/drawing1.xml><?xml version="1.0" encoding="utf-8"?>
<xdr:wsDr xmlns:xdr="http://schemas.openxmlformats.org/drawingml/2006/spreadsheetDrawing" xmlns:a="http://schemas.openxmlformats.org/drawingml/2006/main">
  <xdr:twoCellAnchor editAs="oneCell">
    <xdr:from>
      <xdr:col>2</xdr:col>
      <xdr:colOff>9525</xdr:colOff>
      <xdr:row>2</xdr:row>
      <xdr:rowOff>165735</xdr:rowOff>
    </xdr:from>
    <xdr:to>
      <xdr:col>4</xdr:col>
      <xdr:colOff>561975</xdr:colOff>
      <xdr:row>16</xdr:row>
      <xdr:rowOff>165735</xdr:rowOff>
    </xdr:to>
    <xdr:pic>
      <xdr:nvPicPr>
        <xdr:cNvPr id="6" name="Obraz 3">
          <a:extLst>
            <a:ext uri="{FF2B5EF4-FFF2-40B4-BE49-F238E27FC236}">
              <a16:creationId xmlns:a16="http://schemas.microsoft.com/office/drawing/2014/main" id="{A8FEFDE9-3E3D-E594-2D70-8A9E580F3120}"/>
            </a:ext>
            <a:ext uri="{147F2762-F138-4A5C-976F-8EAC2B608ADB}">
              <a16:predDERef xmlns:a16="http://schemas.microsoft.com/office/drawing/2014/main" pred="{DF7F7993-468C-06FC-2D52-6E264EC5ADE7}"/>
            </a:ext>
          </a:extLst>
        </xdr:cNvPr>
        <xdr:cNvPicPr>
          <a:picLocks noChangeAspect="1"/>
        </xdr:cNvPicPr>
      </xdr:nvPicPr>
      <xdr:blipFill>
        <a:blip xmlns:r="http://schemas.openxmlformats.org/officeDocument/2006/relationships" r:embed="rId1"/>
        <a:stretch>
          <a:fillRect/>
        </a:stretch>
      </xdr:blipFill>
      <xdr:spPr>
        <a:xfrm>
          <a:off x="1228725" y="531495"/>
          <a:ext cx="1771650" cy="25698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25</xdr:col>
      <xdr:colOff>373380</xdr:colOff>
      <xdr:row>3</xdr:row>
      <xdr:rowOff>45720</xdr:rowOff>
    </xdr:from>
    <xdr:to>
      <xdr:col>34</xdr:col>
      <xdr:colOff>91440</xdr:colOff>
      <xdr:row>21</xdr:row>
      <xdr:rowOff>68580</xdr:rowOff>
    </xdr:to>
    <xdr:graphicFrame macro="">
      <xdr:nvGraphicFramePr>
        <xdr:cNvPr id="2" name="Wykres 1">
          <a:extLst>
            <a:ext uri="{FF2B5EF4-FFF2-40B4-BE49-F238E27FC236}">
              <a16:creationId xmlns:a16="http://schemas.microsoft.com/office/drawing/2014/main" id="{91A504F5-00C3-E2BF-4DBC-442735FEB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190500</xdr:colOff>
      <xdr:row>23</xdr:row>
      <xdr:rowOff>0</xdr:rowOff>
    </xdr:from>
    <xdr:to>
      <xdr:col>34</xdr:col>
      <xdr:colOff>304800</xdr:colOff>
      <xdr:row>41</xdr:row>
      <xdr:rowOff>106680</xdr:rowOff>
    </xdr:to>
    <xdr:graphicFrame macro="">
      <xdr:nvGraphicFramePr>
        <xdr:cNvPr id="7" name="Wykres 6">
          <a:extLst>
            <a:ext uri="{FF2B5EF4-FFF2-40B4-BE49-F238E27FC236}">
              <a16:creationId xmlns:a16="http://schemas.microsoft.com/office/drawing/2014/main" id="{E92CD08C-BA1D-02EB-1922-072EC7E41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83820</xdr:colOff>
      <xdr:row>43</xdr:row>
      <xdr:rowOff>60960</xdr:rowOff>
    </xdr:from>
    <xdr:to>
      <xdr:col>34</xdr:col>
      <xdr:colOff>396240</xdr:colOff>
      <xdr:row>62</xdr:row>
      <xdr:rowOff>15240</xdr:rowOff>
    </xdr:to>
    <xdr:graphicFrame macro="">
      <xdr:nvGraphicFramePr>
        <xdr:cNvPr id="8" name="Wykres 7">
          <a:extLst>
            <a:ext uri="{FF2B5EF4-FFF2-40B4-BE49-F238E27FC236}">
              <a16:creationId xmlns:a16="http://schemas.microsoft.com/office/drawing/2014/main" id="{7C047605-290D-DACD-95A9-25931B86C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402513</xdr:colOff>
      <xdr:row>34</xdr:row>
      <xdr:rowOff>51647</xdr:rowOff>
    </xdr:from>
    <xdr:to>
      <xdr:col>7</xdr:col>
      <xdr:colOff>509193</xdr:colOff>
      <xdr:row>49</xdr:row>
      <xdr:rowOff>51647</xdr:rowOff>
    </xdr:to>
    <xdr:graphicFrame macro="">
      <xdr:nvGraphicFramePr>
        <xdr:cNvPr id="11" name="Wykres 10">
          <a:extLst>
            <a:ext uri="{FF2B5EF4-FFF2-40B4-BE49-F238E27FC236}">
              <a16:creationId xmlns:a16="http://schemas.microsoft.com/office/drawing/2014/main" id="{444BB5E7-C4A9-1083-31AF-5C584EB98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121727</xdr:colOff>
      <xdr:row>34</xdr:row>
      <xdr:rowOff>81702</xdr:rowOff>
    </xdr:from>
    <xdr:to>
      <xdr:col>14</xdr:col>
      <xdr:colOff>496493</xdr:colOff>
      <xdr:row>49</xdr:row>
      <xdr:rowOff>81702</xdr:rowOff>
    </xdr:to>
    <xdr:graphicFrame macro="">
      <xdr:nvGraphicFramePr>
        <xdr:cNvPr id="14" name="Wykres 13">
          <a:extLst>
            <a:ext uri="{FF2B5EF4-FFF2-40B4-BE49-F238E27FC236}">
              <a16:creationId xmlns:a16="http://schemas.microsoft.com/office/drawing/2014/main" id="{717F0C3A-022A-E056-18FE-AD11812DF1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241300</xdr:colOff>
      <xdr:row>31</xdr:row>
      <xdr:rowOff>342900</xdr:rowOff>
    </xdr:from>
    <xdr:to>
      <xdr:col>8</xdr:col>
      <xdr:colOff>195580</xdr:colOff>
      <xdr:row>43</xdr:row>
      <xdr:rowOff>38100</xdr:rowOff>
    </xdr:to>
    <xdr:graphicFrame macro="">
      <xdr:nvGraphicFramePr>
        <xdr:cNvPr id="2" name="Wykres 1">
          <a:extLst>
            <a:ext uri="{FF2B5EF4-FFF2-40B4-BE49-F238E27FC236}">
              <a16:creationId xmlns:a16="http://schemas.microsoft.com/office/drawing/2014/main" id="{5D3D9BB9-3CC4-1848-9B59-99F2FD5D2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254000</xdr:colOff>
      <xdr:row>43</xdr:row>
      <xdr:rowOff>114300</xdr:rowOff>
    </xdr:from>
    <xdr:to>
      <xdr:col>8</xdr:col>
      <xdr:colOff>208280</xdr:colOff>
      <xdr:row>58</xdr:row>
      <xdr:rowOff>101600</xdr:rowOff>
    </xdr:to>
    <xdr:graphicFrame macro="">
      <xdr:nvGraphicFramePr>
        <xdr:cNvPr id="3" name="Wykres 2">
          <a:extLst>
            <a:ext uri="{FF2B5EF4-FFF2-40B4-BE49-F238E27FC236}">
              <a16:creationId xmlns:a16="http://schemas.microsoft.com/office/drawing/2014/main" id="{7C08D965-1635-2A43-9407-2E381179E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266700</xdr:colOff>
      <xdr:row>58</xdr:row>
      <xdr:rowOff>165100</xdr:rowOff>
    </xdr:from>
    <xdr:to>
      <xdr:col>8</xdr:col>
      <xdr:colOff>220980</xdr:colOff>
      <xdr:row>73</xdr:row>
      <xdr:rowOff>152400</xdr:rowOff>
    </xdr:to>
    <xdr:graphicFrame macro="">
      <xdr:nvGraphicFramePr>
        <xdr:cNvPr id="4" name="Wykres 3">
          <a:extLst>
            <a:ext uri="{FF2B5EF4-FFF2-40B4-BE49-F238E27FC236}">
              <a16:creationId xmlns:a16="http://schemas.microsoft.com/office/drawing/2014/main" id="{72347C76-2F47-A449-8CD1-B51926E5B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12700</xdr:colOff>
      <xdr:row>38</xdr:row>
      <xdr:rowOff>50800</xdr:rowOff>
    </xdr:from>
    <xdr:to>
      <xdr:col>18</xdr:col>
      <xdr:colOff>391160</xdr:colOff>
      <xdr:row>55</xdr:row>
      <xdr:rowOff>73660</xdr:rowOff>
    </xdr:to>
    <xdr:graphicFrame macro="">
      <xdr:nvGraphicFramePr>
        <xdr:cNvPr id="5" name="Wykres 4">
          <a:extLst>
            <a:ext uri="{FF2B5EF4-FFF2-40B4-BE49-F238E27FC236}">
              <a16:creationId xmlns:a16="http://schemas.microsoft.com/office/drawing/2014/main" id="{4644BF53-C1F4-114B-B595-C31A3B601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12700</xdr:colOff>
      <xdr:row>55</xdr:row>
      <xdr:rowOff>76200</xdr:rowOff>
    </xdr:from>
    <xdr:to>
      <xdr:col>18</xdr:col>
      <xdr:colOff>391160</xdr:colOff>
      <xdr:row>72</xdr:row>
      <xdr:rowOff>73660</xdr:rowOff>
    </xdr:to>
    <xdr:graphicFrame macro="">
      <xdr:nvGraphicFramePr>
        <xdr:cNvPr id="7" name="Wykres 6">
          <a:extLst>
            <a:ext uri="{FF2B5EF4-FFF2-40B4-BE49-F238E27FC236}">
              <a16:creationId xmlns:a16="http://schemas.microsoft.com/office/drawing/2014/main" id="{8B6039DF-949C-0E49-93DA-038F287BA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12700</xdr:colOff>
      <xdr:row>38</xdr:row>
      <xdr:rowOff>38100</xdr:rowOff>
    </xdr:from>
    <xdr:to>
      <xdr:col>26</xdr:col>
      <xdr:colOff>165100</xdr:colOff>
      <xdr:row>56</xdr:row>
      <xdr:rowOff>119380</xdr:rowOff>
    </xdr:to>
    <xdr:graphicFrame macro="">
      <xdr:nvGraphicFramePr>
        <xdr:cNvPr id="8" name="Wykres 7">
          <a:extLst>
            <a:ext uri="{FF2B5EF4-FFF2-40B4-BE49-F238E27FC236}">
              <a16:creationId xmlns:a16="http://schemas.microsoft.com/office/drawing/2014/main" id="{9F23F334-2783-1F4B-817E-A0B8D99D5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12700</xdr:colOff>
      <xdr:row>16</xdr:row>
      <xdr:rowOff>38100</xdr:rowOff>
    </xdr:from>
    <xdr:to>
      <xdr:col>32</xdr:col>
      <xdr:colOff>165100</xdr:colOff>
      <xdr:row>31</xdr:row>
      <xdr:rowOff>843280</xdr:rowOff>
    </xdr:to>
    <xdr:graphicFrame macro="">
      <xdr:nvGraphicFramePr>
        <xdr:cNvPr id="6" name="Wykres 5">
          <a:extLst>
            <a:ext uri="{FF2B5EF4-FFF2-40B4-BE49-F238E27FC236}">
              <a16:creationId xmlns:a16="http://schemas.microsoft.com/office/drawing/2014/main" id="{1D0B835A-8E09-C34B-8120-13B0B0861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342900</xdr:colOff>
      <xdr:row>16</xdr:row>
      <xdr:rowOff>12700</xdr:rowOff>
    </xdr:from>
    <xdr:to>
      <xdr:col>41</xdr:col>
      <xdr:colOff>457200</xdr:colOff>
      <xdr:row>31</xdr:row>
      <xdr:rowOff>817880</xdr:rowOff>
    </xdr:to>
    <xdr:graphicFrame macro="">
      <xdr:nvGraphicFramePr>
        <xdr:cNvPr id="9" name="Wykres 8">
          <a:extLst>
            <a:ext uri="{FF2B5EF4-FFF2-40B4-BE49-F238E27FC236}">
              <a16:creationId xmlns:a16="http://schemas.microsoft.com/office/drawing/2014/main" id="{F430D5F3-A18F-C64B-8E6E-9C67E0A03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0</xdr:colOff>
      <xdr:row>32</xdr:row>
      <xdr:rowOff>0</xdr:rowOff>
    </xdr:from>
    <xdr:to>
      <xdr:col>30</xdr:col>
      <xdr:colOff>4107180</xdr:colOff>
      <xdr:row>47</xdr:row>
      <xdr:rowOff>63500</xdr:rowOff>
    </xdr:to>
    <xdr:graphicFrame macro="">
      <xdr:nvGraphicFramePr>
        <xdr:cNvPr id="10" name="Wykres 9">
          <a:extLst>
            <a:ext uri="{FF2B5EF4-FFF2-40B4-BE49-F238E27FC236}">
              <a16:creationId xmlns:a16="http://schemas.microsoft.com/office/drawing/2014/main" id="{E2C1E347-5BE2-8E4B-A737-66EE913BD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0</xdr:colOff>
      <xdr:row>31</xdr:row>
      <xdr:rowOff>1041400</xdr:rowOff>
    </xdr:from>
    <xdr:to>
      <xdr:col>40</xdr:col>
      <xdr:colOff>114300</xdr:colOff>
      <xdr:row>50</xdr:row>
      <xdr:rowOff>43180</xdr:rowOff>
    </xdr:to>
    <xdr:graphicFrame macro="">
      <xdr:nvGraphicFramePr>
        <xdr:cNvPr id="11" name="Wykres 10">
          <a:extLst>
            <a:ext uri="{FF2B5EF4-FFF2-40B4-BE49-F238E27FC236}">
              <a16:creationId xmlns:a16="http://schemas.microsoft.com/office/drawing/2014/main" id="{C22E4DDC-246C-7946-BC68-7D30A1E41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651933</xdr:colOff>
      <xdr:row>26</xdr:row>
      <xdr:rowOff>169333</xdr:rowOff>
    </xdr:from>
    <xdr:to>
      <xdr:col>18</xdr:col>
      <xdr:colOff>1583267</xdr:colOff>
      <xdr:row>45</xdr:row>
      <xdr:rowOff>38947</xdr:rowOff>
    </xdr:to>
    <xdr:graphicFrame macro="">
      <xdr:nvGraphicFramePr>
        <xdr:cNvPr id="2" name="Wykres 1">
          <a:extLst>
            <a:ext uri="{FF2B5EF4-FFF2-40B4-BE49-F238E27FC236}">
              <a16:creationId xmlns:a16="http://schemas.microsoft.com/office/drawing/2014/main" id="{83B55A11-4F7F-F04C-B0CA-E6704E040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45</xdr:row>
      <xdr:rowOff>118534</xdr:rowOff>
    </xdr:from>
    <xdr:to>
      <xdr:col>18</xdr:col>
      <xdr:colOff>1625600</xdr:colOff>
      <xdr:row>63</xdr:row>
      <xdr:rowOff>174414</xdr:rowOff>
    </xdr:to>
    <xdr:graphicFrame macro="">
      <xdr:nvGraphicFramePr>
        <xdr:cNvPr id="3" name="Wykres 2">
          <a:extLst>
            <a:ext uri="{FF2B5EF4-FFF2-40B4-BE49-F238E27FC236}">
              <a16:creationId xmlns:a16="http://schemas.microsoft.com/office/drawing/2014/main" id="{05D9B4AD-5DA6-3648-96B2-7E8AB8DC0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24</xdr:col>
      <xdr:colOff>166955</xdr:colOff>
      <xdr:row>0</xdr:row>
      <xdr:rowOff>0</xdr:rowOff>
    </xdr:from>
    <xdr:to>
      <xdr:col>35</xdr:col>
      <xdr:colOff>205484</xdr:colOff>
      <xdr:row>14</xdr:row>
      <xdr:rowOff>34247</xdr:rowOff>
    </xdr:to>
    <xdr:graphicFrame macro="">
      <xdr:nvGraphicFramePr>
        <xdr:cNvPr id="2" name="Wykres 1">
          <a:extLst>
            <a:ext uri="{FF2B5EF4-FFF2-40B4-BE49-F238E27FC236}">
              <a16:creationId xmlns:a16="http://schemas.microsoft.com/office/drawing/2014/main" id="{C87795F8-BA4F-DD76-721D-E4AD2D460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158394</xdr:colOff>
      <xdr:row>14</xdr:row>
      <xdr:rowOff>71063</xdr:rowOff>
    </xdr:from>
    <xdr:to>
      <xdr:col>35</xdr:col>
      <xdr:colOff>188359</xdr:colOff>
      <xdr:row>30</xdr:row>
      <xdr:rowOff>171237</xdr:rowOff>
    </xdr:to>
    <xdr:graphicFrame macro="">
      <xdr:nvGraphicFramePr>
        <xdr:cNvPr id="4" name="Wykres 3">
          <a:extLst>
            <a:ext uri="{FF2B5EF4-FFF2-40B4-BE49-F238E27FC236}">
              <a16:creationId xmlns:a16="http://schemas.microsoft.com/office/drawing/2014/main" id="{5327856C-2597-6B1A-F59A-84D8481E4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47091</xdr:colOff>
      <xdr:row>31</xdr:row>
      <xdr:rowOff>79623</xdr:rowOff>
    </xdr:from>
    <xdr:to>
      <xdr:col>35</xdr:col>
      <xdr:colOff>25687</xdr:colOff>
      <xdr:row>47</xdr:row>
      <xdr:rowOff>85616</xdr:rowOff>
    </xdr:to>
    <xdr:graphicFrame macro="">
      <xdr:nvGraphicFramePr>
        <xdr:cNvPr id="5" name="Wykres 4">
          <a:extLst>
            <a:ext uri="{FF2B5EF4-FFF2-40B4-BE49-F238E27FC236}">
              <a16:creationId xmlns:a16="http://schemas.microsoft.com/office/drawing/2014/main" id="{FB8CA1E9-6B3E-783B-C05E-2F471A3B0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449494</xdr:colOff>
      <xdr:row>0</xdr:row>
      <xdr:rowOff>0</xdr:rowOff>
    </xdr:from>
    <xdr:to>
      <xdr:col>45</xdr:col>
      <xdr:colOff>505146</xdr:colOff>
      <xdr:row>19</xdr:row>
      <xdr:rowOff>162674</xdr:rowOff>
    </xdr:to>
    <xdr:graphicFrame macro="">
      <xdr:nvGraphicFramePr>
        <xdr:cNvPr id="6" name="Wykres 5">
          <a:extLst>
            <a:ext uri="{FF2B5EF4-FFF2-40B4-BE49-F238E27FC236}">
              <a16:creationId xmlns:a16="http://schemas.microsoft.com/office/drawing/2014/main" id="{5D87E41F-21D0-732F-154E-6EF3EDE42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475180</xdr:colOff>
      <xdr:row>20</xdr:row>
      <xdr:rowOff>94180</xdr:rowOff>
    </xdr:from>
    <xdr:to>
      <xdr:col>47</xdr:col>
      <xdr:colOff>316787</xdr:colOff>
      <xdr:row>40</xdr:row>
      <xdr:rowOff>162674</xdr:rowOff>
    </xdr:to>
    <xdr:graphicFrame macro="">
      <xdr:nvGraphicFramePr>
        <xdr:cNvPr id="7" name="Wykres 6">
          <a:extLst>
            <a:ext uri="{FF2B5EF4-FFF2-40B4-BE49-F238E27FC236}">
              <a16:creationId xmlns:a16="http://schemas.microsoft.com/office/drawing/2014/main" id="{47DDAE73-E2F3-49DB-81AE-D31B4674F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458055</xdr:colOff>
      <xdr:row>41</xdr:row>
      <xdr:rowOff>71063</xdr:rowOff>
    </xdr:from>
    <xdr:to>
      <xdr:col>47</xdr:col>
      <xdr:colOff>342472</xdr:colOff>
      <xdr:row>58</xdr:row>
      <xdr:rowOff>111303</xdr:rowOff>
    </xdr:to>
    <xdr:graphicFrame macro="">
      <xdr:nvGraphicFramePr>
        <xdr:cNvPr id="8" name="Wykres 7">
          <a:extLst>
            <a:ext uri="{FF2B5EF4-FFF2-40B4-BE49-F238E27FC236}">
              <a16:creationId xmlns:a16="http://schemas.microsoft.com/office/drawing/2014/main" id="{8FB9BEE2-DB0C-70DB-F494-E60C86D5F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440574</xdr:colOff>
      <xdr:row>27</xdr:row>
      <xdr:rowOff>110837</xdr:rowOff>
    </xdr:from>
    <xdr:to>
      <xdr:col>16</xdr:col>
      <xdr:colOff>594360</xdr:colOff>
      <xdr:row>44</xdr:row>
      <xdr:rowOff>45028</xdr:rowOff>
    </xdr:to>
    <xdr:graphicFrame macro="">
      <xdr:nvGraphicFramePr>
        <xdr:cNvPr id="3" name="Wykres 2">
          <a:extLst>
            <a:ext uri="{FF2B5EF4-FFF2-40B4-BE49-F238E27FC236}">
              <a16:creationId xmlns:a16="http://schemas.microsoft.com/office/drawing/2014/main" id="{A2F7B69E-76B5-30F7-D096-A16BA5100C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574271</xdr:colOff>
      <xdr:row>28</xdr:row>
      <xdr:rowOff>152400</xdr:rowOff>
    </xdr:from>
    <xdr:to>
      <xdr:col>26</xdr:col>
      <xdr:colOff>345671</xdr:colOff>
      <xdr:row>44</xdr:row>
      <xdr:rowOff>33252</xdr:rowOff>
    </xdr:to>
    <xdr:graphicFrame macro="">
      <xdr:nvGraphicFramePr>
        <xdr:cNvPr id="4" name="Wykres 3">
          <a:extLst>
            <a:ext uri="{FF2B5EF4-FFF2-40B4-BE49-F238E27FC236}">
              <a16:creationId xmlns:a16="http://schemas.microsoft.com/office/drawing/2014/main" id="{C099E529-A183-6839-E70E-86FB16E3F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173181</xdr:colOff>
      <xdr:row>45</xdr:row>
      <xdr:rowOff>32558</xdr:rowOff>
    </xdr:from>
    <xdr:to>
      <xdr:col>27</xdr:col>
      <xdr:colOff>112221</xdr:colOff>
      <xdr:row>62</xdr:row>
      <xdr:rowOff>121226</xdr:rowOff>
    </xdr:to>
    <xdr:graphicFrame macro="">
      <xdr:nvGraphicFramePr>
        <xdr:cNvPr id="5" name="Wykres 4">
          <a:extLst>
            <a:ext uri="{FF2B5EF4-FFF2-40B4-BE49-F238E27FC236}">
              <a16:creationId xmlns:a16="http://schemas.microsoft.com/office/drawing/2014/main" id="{31262C06-B730-22FB-3D86-CD1CA183A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412172</xdr:colOff>
      <xdr:row>28</xdr:row>
      <xdr:rowOff>52645</xdr:rowOff>
    </xdr:from>
    <xdr:to>
      <xdr:col>37</xdr:col>
      <xdr:colOff>14546</xdr:colOff>
      <xdr:row>46</xdr:row>
      <xdr:rowOff>105986</xdr:rowOff>
    </xdr:to>
    <xdr:graphicFrame macro="">
      <xdr:nvGraphicFramePr>
        <xdr:cNvPr id="6" name="Wykres 5">
          <a:extLst>
            <a:ext uri="{FF2B5EF4-FFF2-40B4-BE49-F238E27FC236}">
              <a16:creationId xmlns:a16="http://schemas.microsoft.com/office/drawing/2014/main" id="{7107B918-B276-043D-80A4-66B8020C5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417024</xdr:colOff>
      <xdr:row>46</xdr:row>
      <xdr:rowOff>125383</xdr:rowOff>
    </xdr:from>
    <xdr:to>
      <xdr:col>37</xdr:col>
      <xdr:colOff>72738</xdr:colOff>
      <xdr:row>62</xdr:row>
      <xdr:rowOff>140622</xdr:rowOff>
    </xdr:to>
    <xdr:graphicFrame macro="">
      <xdr:nvGraphicFramePr>
        <xdr:cNvPr id="7" name="Wykres 6">
          <a:extLst>
            <a:ext uri="{FF2B5EF4-FFF2-40B4-BE49-F238E27FC236}">
              <a16:creationId xmlns:a16="http://schemas.microsoft.com/office/drawing/2014/main" id="{2272562E-CCCA-1484-69DA-658B48FC1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66900</xdr:colOff>
      <xdr:row>9</xdr:row>
      <xdr:rowOff>120681</xdr:rowOff>
    </xdr:from>
    <xdr:to>
      <xdr:col>40</xdr:col>
      <xdr:colOff>394130</xdr:colOff>
      <xdr:row>17</xdr:row>
      <xdr:rowOff>166255</xdr:rowOff>
    </xdr:to>
    <xdr:pic>
      <xdr:nvPicPr>
        <xdr:cNvPr id="10" name="Obraz 1">
          <a:extLst>
            <a:ext uri="{FF2B5EF4-FFF2-40B4-BE49-F238E27FC236}">
              <a16:creationId xmlns:a16="http://schemas.microsoft.com/office/drawing/2014/main" id="{30394B74-3B0C-C8D4-0BE5-99941CAB8FCF}"/>
            </a:ext>
            <a:ext uri="{147F2762-F138-4A5C-976F-8EAC2B608ADB}">
              <a16:predDERef xmlns:a16="http://schemas.microsoft.com/office/drawing/2014/main" pred="{2272562E-CCCA-1484-69DA-658B48FC1825}"/>
            </a:ext>
          </a:extLst>
        </xdr:cNvPr>
        <xdr:cNvPicPr>
          <a:picLocks noChangeAspect="1"/>
        </xdr:cNvPicPr>
      </xdr:nvPicPr>
      <xdr:blipFill>
        <a:blip xmlns:r="http://schemas.openxmlformats.org/officeDocument/2006/relationships" r:embed="rId6"/>
        <a:stretch>
          <a:fillRect/>
        </a:stretch>
      </xdr:blipFill>
      <xdr:spPr>
        <a:xfrm>
          <a:off x="20696318" y="1727808"/>
          <a:ext cx="5688939" cy="148644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12</xdr:col>
      <xdr:colOff>1000125</xdr:colOff>
      <xdr:row>25</xdr:row>
      <xdr:rowOff>79375</xdr:rowOff>
    </xdr:from>
    <xdr:to>
      <xdr:col>15</xdr:col>
      <xdr:colOff>30480</xdr:colOff>
      <xdr:row>41</xdr:row>
      <xdr:rowOff>146050</xdr:rowOff>
    </xdr:to>
    <xdr:graphicFrame macro="">
      <xdr:nvGraphicFramePr>
        <xdr:cNvPr id="2" name="Wykres 1">
          <a:extLst>
            <a:ext uri="{FF2B5EF4-FFF2-40B4-BE49-F238E27FC236}">
              <a16:creationId xmlns:a16="http://schemas.microsoft.com/office/drawing/2014/main" id="{4B86C8EB-C86F-0342-9CDA-AB531C35D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158750</xdr:colOff>
      <xdr:row>25</xdr:row>
      <xdr:rowOff>95250</xdr:rowOff>
    </xdr:from>
    <xdr:to>
      <xdr:col>22</xdr:col>
      <xdr:colOff>538480</xdr:colOff>
      <xdr:row>41</xdr:row>
      <xdr:rowOff>146050</xdr:rowOff>
    </xdr:to>
    <xdr:graphicFrame macro="">
      <xdr:nvGraphicFramePr>
        <xdr:cNvPr id="3" name="Wykres 2">
          <a:extLst>
            <a:ext uri="{FF2B5EF4-FFF2-40B4-BE49-F238E27FC236}">
              <a16:creationId xmlns:a16="http://schemas.microsoft.com/office/drawing/2014/main" id="{A1BE4DC1-B153-474B-8C76-0527293BE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1016000</xdr:colOff>
      <xdr:row>42</xdr:row>
      <xdr:rowOff>63500</xdr:rowOff>
    </xdr:from>
    <xdr:to>
      <xdr:col>15</xdr:col>
      <xdr:colOff>46355</xdr:colOff>
      <xdr:row>58</xdr:row>
      <xdr:rowOff>98425</xdr:rowOff>
    </xdr:to>
    <xdr:graphicFrame macro="">
      <xdr:nvGraphicFramePr>
        <xdr:cNvPr id="4" name="Wykres 3">
          <a:extLst>
            <a:ext uri="{FF2B5EF4-FFF2-40B4-BE49-F238E27FC236}">
              <a16:creationId xmlns:a16="http://schemas.microsoft.com/office/drawing/2014/main" id="{30B0963B-A71A-0B4D-830D-BCEE74FBB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174625</xdr:colOff>
      <xdr:row>42</xdr:row>
      <xdr:rowOff>95250</xdr:rowOff>
    </xdr:from>
    <xdr:to>
      <xdr:col>22</xdr:col>
      <xdr:colOff>554355</xdr:colOff>
      <xdr:row>58</xdr:row>
      <xdr:rowOff>114300</xdr:rowOff>
    </xdr:to>
    <xdr:graphicFrame macro="">
      <xdr:nvGraphicFramePr>
        <xdr:cNvPr id="5" name="Wykres 4">
          <a:extLst>
            <a:ext uri="{FF2B5EF4-FFF2-40B4-BE49-F238E27FC236}">
              <a16:creationId xmlns:a16="http://schemas.microsoft.com/office/drawing/2014/main" id="{4ED37284-8CFB-664F-B356-278CA2041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968375</xdr:colOff>
      <xdr:row>59</xdr:row>
      <xdr:rowOff>111125</xdr:rowOff>
    </xdr:from>
    <xdr:to>
      <xdr:col>14</xdr:col>
      <xdr:colOff>2665730</xdr:colOff>
      <xdr:row>76</xdr:row>
      <xdr:rowOff>3175</xdr:rowOff>
    </xdr:to>
    <xdr:graphicFrame macro="">
      <xdr:nvGraphicFramePr>
        <xdr:cNvPr id="8" name="Wykres 7">
          <a:extLst>
            <a:ext uri="{FF2B5EF4-FFF2-40B4-BE49-F238E27FC236}">
              <a16:creationId xmlns:a16="http://schemas.microsoft.com/office/drawing/2014/main" id="{AED621AD-7445-8641-B429-A7A591E3B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111125</xdr:colOff>
      <xdr:row>59</xdr:row>
      <xdr:rowOff>63500</xdr:rowOff>
    </xdr:from>
    <xdr:to>
      <xdr:col>22</xdr:col>
      <xdr:colOff>490855</xdr:colOff>
      <xdr:row>75</xdr:row>
      <xdr:rowOff>114300</xdr:rowOff>
    </xdr:to>
    <xdr:graphicFrame macro="">
      <xdr:nvGraphicFramePr>
        <xdr:cNvPr id="10" name="Wykres 9">
          <a:extLst>
            <a:ext uri="{FF2B5EF4-FFF2-40B4-BE49-F238E27FC236}">
              <a16:creationId xmlns:a16="http://schemas.microsoft.com/office/drawing/2014/main" id="{9AA336E3-48E0-2C47-BED2-D991CFCA8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968375</xdr:colOff>
      <xdr:row>76</xdr:row>
      <xdr:rowOff>158750</xdr:rowOff>
    </xdr:from>
    <xdr:to>
      <xdr:col>14</xdr:col>
      <xdr:colOff>2665730</xdr:colOff>
      <xdr:row>93</xdr:row>
      <xdr:rowOff>34925</xdr:rowOff>
    </xdr:to>
    <xdr:graphicFrame macro="">
      <xdr:nvGraphicFramePr>
        <xdr:cNvPr id="11" name="Wykres 10">
          <a:extLst>
            <a:ext uri="{FF2B5EF4-FFF2-40B4-BE49-F238E27FC236}">
              <a16:creationId xmlns:a16="http://schemas.microsoft.com/office/drawing/2014/main" id="{2797D99C-E6DA-2E45-8B73-A4928B0D9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158750</xdr:colOff>
      <xdr:row>77</xdr:row>
      <xdr:rowOff>15875</xdr:rowOff>
    </xdr:from>
    <xdr:to>
      <xdr:col>22</xdr:col>
      <xdr:colOff>538480</xdr:colOff>
      <xdr:row>93</xdr:row>
      <xdr:rowOff>82550</xdr:rowOff>
    </xdr:to>
    <xdr:graphicFrame macro="">
      <xdr:nvGraphicFramePr>
        <xdr:cNvPr id="12" name="Wykres 11">
          <a:extLst>
            <a:ext uri="{FF2B5EF4-FFF2-40B4-BE49-F238E27FC236}">
              <a16:creationId xmlns:a16="http://schemas.microsoft.com/office/drawing/2014/main" id="{C3C80F68-37AD-084C-808E-2E2AC8958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984250</xdr:colOff>
      <xdr:row>94</xdr:row>
      <xdr:rowOff>79375</xdr:rowOff>
    </xdr:from>
    <xdr:to>
      <xdr:col>15</xdr:col>
      <xdr:colOff>14605</xdr:colOff>
      <xdr:row>110</xdr:row>
      <xdr:rowOff>146050</xdr:rowOff>
    </xdr:to>
    <xdr:graphicFrame macro="">
      <xdr:nvGraphicFramePr>
        <xdr:cNvPr id="13" name="Wykres 12">
          <a:extLst>
            <a:ext uri="{FF2B5EF4-FFF2-40B4-BE49-F238E27FC236}">
              <a16:creationId xmlns:a16="http://schemas.microsoft.com/office/drawing/2014/main" id="{E963C881-6E32-2848-8FF2-CF2681AB7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158750</xdr:colOff>
      <xdr:row>94</xdr:row>
      <xdr:rowOff>63500</xdr:rowOff>
    </xdr:from>
    <xdr:to>
      <xdr:col>22</xdr:col>
      <xdr:colOff>538480</xdr:colOff>
      <xdr:row>110</xdr:row>
      <xdr:rowOff>130175</xdr:rowOff>
    </xdr:to>
    <xdr:graphicFrame macro="">
      <xdr:nvGraphicFramePr>
        <xdr:cNvPr id="14" name="Wykres 13">
          <a:extLst>
            <a:ext uri="{FF2B5EF4-FFF2-40B4-BE49-F238E27FC236}">
              <a16:creationId xmlns:a16="http://schemas.microsoft.com/office/drawing/2014/main" id="{36F09C11-0F2A-2E4C-BC2A-5E0419BD8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27</xdr:col>
      <xdr:colOff>533400</xdr:colOff>
      <xdr:row>17</xdr:row>
      <xdr:rowOff>57150</xdr:rowOff>
    </xdr:from>
    <xdr:to>
      <xdr:col>35</xdr:col>
      <xdr:colOff>57150</xdr:colOff>
      <xdr:row>27</xdr:row>
      <xdr:rowOff>32385</xdr:rowOff>
    </xdr:to>
    <xdr:pic>
      <xdr:nvPicPr>
        <xdr:cNvPr id="16" name="Obraz 5">
          <a:extLst>
            <a:ext uri="{FF2B5EF4-FFF2-40B4-BE49-F238E27FC236}">
              <a16:creationId xmlns:a16="http://schemas.microsoft.com/office/drawing/2014/main" id="{86BE62A9-4106-216D-90D9-A68469091787}"/>
            </a:ext>
            <a:ext uri="{147F2762-F138-4A5C-976F-8EAC2B608ADB}">
              <a16:predDERef xmlns:a16="http://schemas.microsoft.com/office/drawing/2014/main" pred="{36F09C11-0F2A-2E4C-BC2A-5E0419BD818D}"/>
            </a:ext>
          </a:extLst>
        </xdr:cNvPr>
        <xdr:cNvPicPr>
          <a:picLocks noChangeAspect="1"/>
        </xdr:cNvPicPr>
      </xdr:nvPicPr>
      <xdr:blipFill>
        <a:blip xmlns:r="http://schemas.openxmlformats.org/officeDocument/2006/relationships" r:embed="rId11"/>
        <a:stretch>
          <a:fillRect/>
        </a:stretch>
      </xdr:blipFill>
      <xdr:spPr>
        <a:xfrm>
          <a:off x="24593550" y="3267075"/>
          <a:ext cx="4278630" cy="18573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11</xdr:col>
      <xdr:colOff>33867</xdr:colOff>
      <xdr:row>30</xdr:row>
      <xdr:rowOff>67733</xdr:rowOff>
    </xdr:from>
    <xdr:to>
      <xdr:col>15</xdr:col>
      <xdr:colOff>515197</xdr:colOff>
      <xdr:row>45</xdr:row>
      <xdr:rowOff>33867</xdr:rowOff>
    </xdr:to>
    <xdr:graphicFrame macro="">
      <xdr:nvGraphicFramePr>
        <xdr:cNvPr id="2" name="Wykres 1">
          <a:extLst>
            <a:ext uri="{FF2B5EF4-FFF2-40B4-BE49-F238E27FC236}">
              <a16:creationId xmlns:a16="http://schemas.microsoft.com/office/drawing/2014/main" id="{FF8E0EC9-8E45-1B46-BA42-DDF249CC0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30</xdr:row>
      <xdr:rowOff>0</xdr:rowOff>
    </xdr:from>
    <xdr:to>
      <xdr:col>23</xdr:col>
      <xdr:colOff>379729</xdr:colOff>
      <xdr:row>44</xdr:row>
      <xdr:rowOff>152401</xdr:rowOff>
    </xdr:to>
    <xdr:graphicFrame macro="">
      <xdr:nvGraphicFramePr>
        <xdr:cNvPr id="4" name="Wykres 3">
          <a:extLst>
            <a:ext uri="{FF2B5EF4-FFF2-40B4-BE49-F238E27FC236}">
              <a16:creationId xmlns:a16="http://schemas.microsoft.com/office/drawing/2014/main" id="{EA3FC3AE-470F-2246-8D05-4AAD8E583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16934</xdr:colOff>
      <xdr:row>45</xdr:row>
      <xdr:rowOff>135467</xdr:rowOff>
    </xdr:from>
    <xdr:to>
      <xdr:col>23</xdr:col>
      <xdr:colOff>396663</xdr:colOff>
      <xdr:row>60</xdr:row>
      <xdr:rowOff>101601</xdr:rowOff>
    </xdr:to>
    <xdr:graphicFrame macro="">
      <xdr:nvGraphicFramePr>
        <xdr:cNvPr id="5" name="Wykres 4">
          <a:extLst>
            <a:ext uri="{FF2B5EF4-FFF2-40B4-BE49-F238E27FC236}">
              <a16:creationId xmlns:a16="http://schemas.microsoft.com/office/drawing/2014/main" id="{FB04425B-6986-204D-9521-029FE3DB7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46</xdr:row>
      <xdr:rowOff>0</xdr:rowOff>
    </xdr:from>
    <xdr:to>
      <xdr:col>15</xdr:col>
      <xdr:colOff>481330</xdr:colOff>
      <xdr:row>60</xdr:row>
      <xdr:rowOff>152401</xdr:rowOff>
    </xdr:to>
    <xdr:graphicFrame macro="">
      <xdr:nvGraphicFramePr>
        <xdr:cNvPr id="6" name="Wykres 5">
          <a:extLst>
            <a:ext uri="{FF2B5EF4-FFF2-40B4-BE49-F238E27FC236}">
              <a16:creationId xmlns:a16="http://schemas.microsoft.com/office/drawing/2014/main" id="{92AA2226-B249-E74D-B682-0DE22296D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181717</xdr:colOff>
      <xdr:row>46</xdr:row>
      <xdr:rowOff>10867</xdr:rowOff>
    </xdr:from>
    <xdr:to>
      <xdr:col>10</xdr:col>
      <xdr:colOff>390091</xdr:colOff>
      <xdr:row>60</xdr:row>
      <xdr:rowOff>158971</xdr:rowOff>
    </xdr:to>
    <xdr:graphicFrame macro="">
      <xdr:nvGraphicFramePr>
        <xdr:cNvPr id="7" name="Wykres 6">
          <a:extLst>
            <a:ext uri="{FF2B5EF4-FFF2-40B4-BE49-F238E27FC236}">
              <a16:creationId xmlns:a16="http://schemas.microsoft.com/office/drawing/2014/main" id="{884F62A4-49CF-C049-8407-6855D0316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220133</xdr:colOff>
      <xdr:row>30</xdr:row>
      <xdr:rowOff>101600</xdr:rowOff>
    </xdr:from>
    <xdr:to>
      <xdr:col>10</xdr:col>
      <xdr:colOff>362796</xdr:colOff>
      <xdr:row>45</xdr:row>
      <xdr:rowOff>67734</xdr:rowOff>
    </xdr:to>
    <xdr:graphicFrame macro="">
      <xdr:nvGraphicFramePr>
        <xdr:cNvPr id="8" name="Wykres 7">
          <a:extLst>
            <a:ext uri="{FF2B5EF4-FFF2-40B4-BE49-F238E27FC236}">
              <a16:creationId xmlns:a16="http://schemas.microsoft.com/office/drawing/2014/main" id="{EC1E2861-774A-EC43-8CD4-DA3ABA78C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34</xdr:col>
      <xdr:colOff>190743</xdr:colOff>
      <xdr:row>9</xdr:row>
      <xdr:rowOff>35413</xdr:rowOff>
    </xdr:from>
    <xdr:to>
      <xdr:col>45</xdr:col>
      <xdr:colOff>228600</xdr:colOff>
      <xdr:row>28</xdr:row>
      <xdr:rowOff>89602</xdr:rowOff>
    </xdr:to>
    <xdr:pic>
      <xdr:nvPicPr>
        <xdr:cNvPr id="3" name="Obraz 8">
          <a:extLst>
            <a:ext uri="{FF2B5EF4-FFF2-40B4-BE49-F238E27FC236}">
              <a16:creationId xmlns:a16="http://schemas.microsoft.com/office/drawing/2014/main" id="{B0FB7987-305D-FF8B-940B-5CDD14ABE4A3}"/>
            </a:ext>
            <a:ext uri="{147F2762-F138-4A5C-976F-8EAC2B608ADB}">
              <a16:predDERef xmlns:a16="http://schemas.microsoft.com/office/drawing/2014/main" pred="{EC1E2861-774A-EC43-8CD4-DA3ABA78CA45}"/>
            </a:ext>
          </a:extLst>
        </xdr:cNvPr>
        <xdr:cNvPicPr>
          <a:picLocks noChangeAspect="1"/>
        </xdr:cNvPicPr>
      </xdr:nvPicPr>
      <xdr:blipFill>
        <a:blip xmlns:r="http://schemas.openxmlformats.org/officeDocument/2006/relationships" r:embed="rId7"/>
        <a:stretch>
          <a:fillRect/>
        </a:stretch>
      </xdr:blipFill>
      <xdr:spPr>
        <a:xfrm>
          <a:off x="23368243" y="1635613"/>
          <a:ext cx="6603757" cy="352128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13</xdr:col>
      <xdr:colOff>63500</xdr:colOff>
      <xdr:row>26</xdr:row>
      <xdr:rowOff>88900</xdr:rowOff>
    </xdr:from>
    <xdr:to>
      <xdr:col>19</xdr:col>
      <xdr:colOff>177800</xdr:colOff>
      <xdr:row>45</xdr:row>
      <xdr:rowOff>21515</xdr:rowOff>
    </xdr:to>
    <xdr:graphicFrame macro="">
      <xdr:nvGraphicFramePr>
        <xdr:cNvPr id="2" name="Wykres 1">
          <a:extLst>
            <a:ext uri="{FF2B5EF4-FFF2-40B4-BE49-F238E27FC236}">
              <a16:creationId xmlns:a16="http://schemas.microsoft.com/office/drawing/2014/main" id="{E4443E8A-BB77-504F-95F1-8A0CDBFC1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63500</xdr:colOff>
      <xdr:row>45</xdr:row>
      <xdr:rowOff>50800</xdr:rowOff>
    </xdr:from>
    <xdr:to>
      <xdr:col>19</xdr:col>
      <xdr:colOff>177800</xdr:colOff>
      <xdr:row>63</xdr:row>
      <xdr:rowOff>173915</xdr:rowOff>
    </xdr:to>
    <xdr:graphicFrame macro="">
      <xdr:nvGraphicFramePr>
        <xdr:cNvPr id="3" name="Wykres 2">
          <a:extLst>
            <a:ext uri="{FF2B5EF4-FFF2-40B4-BE49-F238E27FC236}">
              <a16:creationId xmlns:a16="http://schemas.microsoft.com/office/drawing/2014/main" id="{4847C363-6050-F24A-A5CC-D346F7ECE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222250</xdr:colOff>
      <xdr:row>26</xdr:row>
      <xdr:rowOff>28575</xdr:rowOff>
    </xdr:from>
    <xdr:to>
      <xdr:col>28</xdr:col>
      <xdr:colOff>345017</xdr:colOff>
      <xdr:row>44</xdr:row>
      <xdr:rowOff>8255</xdr:rowOff>
    </xdr:to>
    <xdr:graphicFrame macro="">
      <xdr:nvGraphicFramePr>
        <xdr:cNvPr id="6" name="Wykres 3">
          <a:extLst>
            <a:ext uri="{FF2B5EF4-FFF2-40B4-BE49-F238E27FC236}">
              <a16:creationId xmlns:a16="http://schemas.microsoft.com/office/drawing/2014/main" id="{E561656F-44BD-EB42-A795-DEB14CFE5822}"/>
            </a:ext>
            <a:ext uri="{147F2762-F138-4A5C-976F-8EAC2B608ADB}">
              <a16:predDERef xmlns:a16="http://schemas.microsoft.com/office/drawing/2014/main" pred="{4847C363-6050-F24A-A5CC-D346F7ECE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393700</xdr:colOff>
      <xdr:row>45</xdr:row>
      <xdr:rowOff>25400</xdr:rowOff>
    </xdr:from>
    <xdr:to>
      <xdr:col>28</xdr:col>
      <xdr:colOff>516467</xdr:colOff>
      <xdr:row>63</xdr:row>
      <xdr:rowOff>5080</xdr:rowOff>
    </xdr:to>
    <xdr:graphicFrame macro="">
      <xdr:nvGraphicFramePr>
        <xdr:cNvPr id="5" name="Wykres 4">
          <a:extLst>
            <a:ext uri="{FF2B5EF4-FFF2-40B4-BE49-F238E27FC236}">
              <a16:creationId xmlns:a16="http://schemas.microsoft.com/office/drawing/2014/main" id="{27E2C7A4-252B-DB46-AE62-00AF72C7B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333375</xdr:colOff>
      <xdr:row>15</xdr:row>
      <xdr:rowOff>28575</xdr:rowOff>
    </xdr:from>
    <xdr:to>
      <xdr:col>35</xdr:col>
      <xdr:colOff>453390</xdr:colOff>
      <xdr:row>25</xdr:row>
      <xdr:rowOff>104775</xdr:rowOff>
    </xdr:to>
    <xdr:pic>
      <xdr:nvPicPr>
        <xdr:cNvPr id="8" name="Obraz 5">
          <a:extLst>
            <a:ext uri="{FF2B5EF4-FFF2-40B4-BE49-F238E27FC236}">
              <a16:creationId xmlns:a16="http://schemas.microsoft.com/office/drawing/2014/main" id="{911A6192-FFEC-4249-2674-2AA939C83AA9}"/>
            </a:ext>
            <a:ext uri="{147F2762-F138-4A5C-976F-8EAC2B608ADB}">
              <a16:predDERef xmlns:a16="http://schemas.microsoft.com/office/drawing/2014/main" pred="{27E2C7A4-252B-DB46-AE62-00AF72C7B81E}"/>
            </a:ext>
          </a:extLst>
        </xdr:cNvPr>
        <xdr:cNvPicPr>
          <a:picLocks noChangeAspect="1"/>
        </xdr:cNvPicPr>
      </xdr:nvPicPr>
      <xdr:blipFill>
        <a:blip xmlns:r="http://schemas.openxmlformats.org/officeDocument/2006/relationships" r:embed="rId5"/>
        <a:stretch>
          <a:fillRect/>
        </a:stretch>
      </xdr:blipFill>
      <xdr:spPr>
        <a:xfrm>
          <a:off x="22783800" y="2809875"/>
          <a:ext cx="4280535" cy="1905000"/>
        </a:xfrm>
        <a:prstGeom prst="rect">
          <a:avLst/>
        </a:prstGeom>
      </xdr:spPr>
    </xdr:pic>
    <xdr:clientData/>
  </xdr:twoCellAnchor>
</xdr:wsDr>
</file>

<file path=xl/theme/theme1.xml><?xml version="1.0" encoding="utf-8"?>
<a:theme xmlns:a="http://schemas.openxmlformats.org/drawingml/2006/main" name="Motyw pakietu Office 2013–2022">
  <a:themeElements>
    <a:clrScheme name="Pakiet 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AF946-AEF4-45B8-A078-61DA949A6EA7}">
  <dimension ref="C2:AE15"/>
  <sheetViews>
    <sheetView tabSelected="1" workbookViewId="0">
      <selection activeCell="G14" sqref="G14"/>
    </sheetView>
  </sheetViews>
  <sheetFormatPr baseColWidth="10" defaultColWidth="8.6640625" defaultRowHeight="15" x14ac:dyDescent="0.2"/>
  <cols>
    <col min="11" max="11" width="9.1640625" customWidth="1"/>
  </cols>
  <sheetData>
    <row r="2" spans="3:31" x14ac:dyDescent="0.2">
      <c r="D2" s="67" t="s">
        <v>0</v>
      </c>
      <c r="E2" s="67"/>
      <c r="F2" s="67"/>
    </row>
    <row r="3" spans="3:31" ht="14.75" customHeight="1" x14ac:dyDescent="0.2"/>
    <row r="4" spans="3:31" x14ac:dyDescent="0.2">
      <c r="F4" s="67"/>
      <c r="G4" s="67"/>
      <c r="H4" s="67"/>
      <c r="I4" s="67"/>
      <c r="K4" s="67"/>
    </row>
    <row r="5" spans="3:31" ht="14.75" customHeight="1" x14ac:dyDescent="0.2">
      <c r="F5" s="67"/>
      <c r="G5" s="67"/>
      <c r="H5" s="67"/>
      <c r="I5" s="67"/>
      <c r="J5" s="67"/>
      <c r="K5" s="67"/>
    </row>
    <row r="6" spans="3:31" ht="14.75" customHeight="1" x14ac:dyDescent="0.2">
      <c r="G6" s="110" t="s">
        <v>1</v>
      </c>
      <c r="H6" s="110"/>
      <c r="I6" s="110"/>
      <c r="J6" s="110"/>
      <c r="K6" s="110"/>
      <c r="L6" s="110"/>
      <c r="M6" s="110"/>
      <c r="N6" s="110"/>
      <c r="O6" s="110"/>
    </row>
    <row r="7" spans="3:31" ht="14.75" customHeight="1" x14ac:dyDescent="0.2">
      <c r="G7" s="110" t="s">
        <v>2</v>
      </c>
      <c r="H7" s="110"/>
      <c r="I7" s="110"/>
      <c r="J7" s="110"/>
      <c r="K7" s="110"/>
      <c r="L7" s="110"/>
      <c r="M7" s="110"/>
      <c r="N7" s="110"/>
      <c r="O7" s="110"/>
      <c r="R7" s="81"/>
      <c r="S7" s="81"/>
      <c r="T7" s="81"/>
      <c r="U7" s="81"/>
      <c r="V7" s="81"/>
      <c r="W7" s="81"/>
      <c r="X7" s="81"/>
      <c r="Y7" s="81"/>
      <c r="Z7" s="81"/>
      <c r="AA7" s="81"/>
      <c r="AB7" s="81"/>
      <c r="AC7" s="81"/>
      <c r="AD7" s="81"/>
      <c r="AE7" s="81"/>
    </row>
    <row r="8" spans="3:31" ht="14.75" customHeight="1" x14ac:dyDescent="0.2">
      <c r="G8" s="109" t="s">
        <v>3</v>
      </c>
      <c r="H8" s="109"/>
      <c r="I8" s="109"/>
      <c r="J8" s="109"/>
      <c r="K8" s="109"/>
      <c r="L8" s="109"/>
      <c r="M8" s="109"/>
      <c r="N8" s="109"/>
      <c r="O8" s="109"/>
      <c r="R8" s="81"/>
      <c r="S8" s="81"/>
      <c r="T8" s="81"/>
      <c r="U8" s="81"/>
      <c r="V8" s="81"/>
      <c r="W8" s="81"/>
      <c r="X8" s="81"/>
      <c r="Y8" s="81"/>
      <c r="Z8" s="81"/>
      <c r="AA8" s="81"/>
      <c r="AB8" s="81"/>
      <c r="AC8" s="81"/>
      <c r="AD8" s="81"/>
      <c r="AE8" s="81"/>
    </row>
    <row r="9" spans="3:31" ht="14.75" customHeight="1" x14ac:dyDescent="0.2">
      <c r="G9" s="109" t="s">
        <v>4</v>
      </c>
      <c r="H9" s="109"/>
      <c r="I9" s="109"/>
      <c r="J9" s="109"/>
      <c r="K9" s="109"/>
      <c r="L9" s="109"/>
      <c r="M9" s="109"/>
      <c r="N9" s="109"/>
      <c r="O9" s="109"/>
      <c r="R9" s="81"/>
      <c r="S9" s="81"/>
      <c r="T9" s="81"/>
      <c r="U9" s="81"/>
      <c r="V9" s="81"/>
      <c r="W9" s="81"/>
      <c r="X9" s="81"/>
      <c r="Y9" s="81"/>
      <c r="Z9" s="81"/>
      <c r="AA9" s="81"/>
      <c r="AB9" s="81"/>
      <c r="AC9" s="81"/>
      <c r="AD9" s="81"/>
      <c r="AE9" s="81"/>
    </row>
    <row r="10" spans="3:31" ht="14.75" customHeight="1" x14ac:dyDescent="0.2">
      <c r="G10" s="109" t="s">
        <v>5</v>
      </c>
      <c r="H10" s="109"/>
      <c r="I10" s="109"/>
      <c r="J10" s="109"/>
      <c r="K10" s="109"/>
      <c r="L10" s="109"/>
      <c r="M10" s="109"/>
      <c r="N10" s="109"/>
      <c r="O10" s="109"/>
      <c r="R10" s="81"/>
      <c r="S10" s="81"/>
      <c r="T10" s="81"/>
      <c r="U10" s="81"/>
      <c r="V10" s="81"/>
      <c r="W10" s="81"/>
      <c r="X10" s="81"/>
      <c r="Y10" s="81"/>
      <c r="Z10" s="81"/>
      <c r="AA10" s="81"/>
      <c r="AB10" s="81"/>
      <c r="AC10" s="81"/>
      <c r="AD10" s="81"/>
      <c r="AE10" s="81"/>
    </row>
    <row r="11" spans="3:31" ht="14.75" customHeight="1" x14ac:dyDescent="0.2">
      <c r="C11" s="13"/>
      <c r="R11" s="81"/>
      <c r="S11" s="81"/>
      <c r="T11" s="81"/>
      <c r="U11" s="81"/>
      <c r="V11" s="81"/>
      <c r="W11" s="81"/>
      <c r="X11" s="81"/>
      <c r="Y11" s="81"/>
      <c r="Z11" s="81"/>
      <c r="AA11" s="81"/>
      <c r="AB11" s="81"/>
      <c r="AC11" s="81"/>
      <c r="AD11" s="81"/>
      <c r="AE11" s="81"/>
    </row>
    <row r="12" spans="3:31" ht="14.75" customHeight="1" x14ac:dyDescent="0.2">
      <c r="C12" s="13"/>
      <c r="R12" s="81"/>
      <c r="S12" s="81"/>
      <c r="T12" s="81"/>
      <c r="U12" s="81"/>
      <c r="V12" s="81"/>
      <c r="W12" s="81"/>
      <c r="X12" s="81"/>
      <c r="Y12" s="81"/>
      <c r="Z12" s="81"/>
      <c r="AA12" s="81"/>
      <c r="AB12" s="81"/>
      <c r="AC12" s="81"/>
      <c r="AD12" s="81"/>
      <c r="AE12" s="81"/>
    </row>
    <row r="13" spans="3:31" ht="14.75" customHeight="1" x14ac:dyDescent="0.2">
      <c r="C13" s="13"/>
      <c r="R13" s="81"/>
      <c r="S13" s="81"/>
      <c r="T13" s="81"/>
      <c r="U13" s="81"/>
      <c r="V13" s="81"/>
      <c r="W13" s="81"/>
      <c r="X13" s="81"/>
      <c r="Y13" s="81"/>
      <c r="Z13" s="81"/>
      <c r="AA13" s="81"/>
      <c r="AB13" s="81"/>
      <c r="AC13" s="81"/>
      <c r="AD13" s="81"/>
      <c r="AE13" s="81"/>
    </row>
    <row r="14" spans="3:31" ht="14.75" customHeight="1" x14ac:dyDescent="0.2">
      <c r="G14" s="13" t="s">
        <v>322</v>
      </c>
      <c r="R14" s="81"/>
      <c r="S14" s="81"/>
      <c r="T14" s="81"/>
      <c r="U14" s="81"/>
      <c r="V14" s="81"/>
      <c r="W14" s="81"/>
      <c r="X14" s="81"/>
      <c r="Y14" s="81"/>
      <c r="Z14" s="81"/>
      <c r="AA14" s="81"/>
      <c r="AB14" s="81"/>
      <c r="AC14" s="81"/>
      <c r="AD14" s="81"/>
      <c r="AE14" s="81"/>
    </row>
    <row r="15" spans="3:31" ht="14.75" customHeight="1" x14ac:dyDescent="0.2">
      <c r="G15" s="13" t="s">
        <v>6</v>
      </c>
      <c r="R15" s="81"/>
      <c r="S15" s="81"/>
      <c r="T15" s="81"/>
      <c r="U15" s="81"/>
      <c r="V15" s="81"/>
      <c r="W15" s="81"/>
      <c r="X15" s="81"/>
      <c r="Y15" s="81"/>
      <c r="Z15" s="81"/>
      <c r="AA15" s="81"/>
      <c r="AB15" s="81"/>
      <c r="AC15" s="81"/>
      <c r="AD15" s="81"/>
      <c r="AE15" s="81"/>
    </row>
  </sheetData>
  <mergeCells count="5">
    <mergeCell ref="G10:O10"/>
    <mergeCell ref="G6:O6"/>
    <mergeCell ref="G7:O7"/>
    <mergeCell ref="G8:O8"/>
    <mergeCell ref="G9:O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9B9C3-8C7F-4B1A-BD05-D97E4F57DACB}">
  <dimension ref="A1:AC134"/>
  <sheetViews>
    <sheetView topLeftCell="K5" zoomScale="120" zoomScaleNormal="120" workbookViewId="0">
      <selection activeCell="T35" sqref="T35"/>
    </sheetView>
  </sheetViews>
  <sheetFormatPr baseColWidth="10" defaultColWidth="8.6640625" defaultRowHeight="15" x14ac:dyDescent="0.2"/>
  <cols>
    <col min="8" max="8" width="21" bestFit="1" customWidth="1"/>
    <col min="9" max="10" width="16.33203125" customWidth="1"/>
  </cols>
  <sheetData>
    <row r="1" spans="1:29" x14ac:dyDescent="0.2">
      <c r="A1" s="112" t="s">
        <v>7</v>
      </c>
      <c r="B1" s="112"/>
      <c r="C1" s="112"/>
      <c r="D1" s="112"/>
      <c r="E1" s="112"/>
      <c r="F1" s="112"/>
      <c r="G1" s="112"/>
      <c r="H1" s="112"/>
      <c r="I1" s="112"/>
      <c r="J1" s="112"/>
    </row>
    <row r="2" spans="1:29" x14ac:dyDescent="0.2">
      <c r="M2" s="112" t="s">
        <v>8</v>
      </c>
      <c r="N2" s="112"/>
      <c r="O2" s="112"/>
      <c r="P2" s="112"/>
      <c r="Q2" s="112"/>
      <c r="R2" s="112"/>
      <c r="S2" s="112"/>
      <c r="T2" s="112"/>
      <c r="U2" s="112"/>
      <c r="V2" s="112"/>
      <c r="W2" s="112"/>
      <c r="X2" s="112"/>
      <c r="Y2" s="112"/>
      <c r="Z2" s="112"/>
      <c r="AA2" s="112"/>
      <c r="AB2" s="112"/>
    </row>
    <row r="3" spans="1:29" x14ac:dyDescent="0.2">
      <c r="A3" s="56" t="s">
        <v>9</v>
      </c>
      <c r="B3" s="56"/>
      <c r="C3" s="56"/>
      <c r="D3" s="56"/>
      <c r="E3" s="56"/>
      <c r="F3" s="56"/>
      <c r="G3" s="56"/>
      <c r="H3" s="56">
        <v>2021</v>
      </c>
      <c r="I3" s="56">
        <v>2020</v>
      </c>
      <c r="J3" s="56">
        <v>2019</v>
      </c>
      <c r="N3" s="13"/>
      <c r="O3" s="13"/>
      <c r="P3" s="13"/>
      <c r="Q3" s="13"/>
      <c r="R3" s="13"/>
      <c r="S3" s="13"/>
      <c r="T3" s="13"/>
      <c r="U3" s="13"/>
      <c r="V3" s="13"/>
      <c r="W3" s="13"/>
      <c r="X3" s="13"/>
      <c r="Y3" s="13"/>
      <c r="Z3" s="13"/>
      <c r="AA3" s="13"/>
      <c r="AB3" s="13"/>
    </row>
    <row r="4" spans="1:29" ht="14.5" customHeight="1" x14ac:dyDescent="0.2">
      <c r="A4" s="14" t="s">
        <v>10</v>
      </c>
      <c r="B4" s="14"/>
      <c r="C4" s="14"/>
      <c r="D4" s="14"/>
      <c r="E4" s="14"/>
      <c r="F4" s="14"/>
      <c r="G4" s="14"/>
      <c r="H4" s="20">
        <v>118828</v>
      </c>
      <c r="I4" s="20">
        <v>116891</v>
      </c>
      <c r="J4" s="20">
        <v>113267</v>
      </c>
      <c r="M4" s="114" t="s">
        <v>314</v>
      </c>
      <c r="N4" s="114"/>
      <c r="O4" s="114"/>
      <c r="P4" s="114"/>
      <c r="Q4" s="114"/>
      <c r="R4" s="114"/>
      <c r="S4" s="114"/>
      <c r="T4" s="114"/>
      <c r="U4" s="114"/>
      <c r="V4" s="114"/>
      <c r="W4" s="114"/>
      <c r="X4" s="114"/>
      <c r="Y4" s="114"/>
      <c r="Z4" s="114"/>
      <c r="AA4" s="114"/>
      <c r="AB4" s="114"/>
      <c r="AC4" s="81"/>
    </row>
    <row r="5" spans="1:29" x14ac:dyDescent="0.2">
      <c r="A5" t="s">
        <v>11</v>
      </c>
      <c r="H5" s="86">
        <v>79465</v>
      </c>
      <c r="I5" s="87">
        <v>78249</v>
      </c>
      <c r="J5" s="86">
        <v>73444</v>
      </c>
      <c r="M5" s="114"/>
      <c r="N5" s="114"/>
      <c r="O5" s="114"/>
      <c r="P5" s="114"/>
      <c r="Q5" s="114"/>
      <c r="R5" s="114"/>
      <c r="S5" s="114"/>
      <c r="T5" s="114"/>
      <c r="U5" s="114"/>
      <c r="V5" s="114"/>
      <c r="W5" s="114"/>
      <c r="X5" s="114"/>
      <c r="Y5" s="114"/>
      <c r="Z5" s="114"/>
      <c r="AA5" s="114"/>
      <c r="AB5" s="114"/>
      <c r="AC5" s="81"/>
    </row>
    <row r="6" spans="1:29" x14ac:dyDescent="0.2">
      <c r="A6" t="s">
        <v>12</v>
      </c>
      <c r="H6" s="86">
        <v>3291</v>
      </c>
      <c r="I6" s="87">
        <v>2524</v>
      </c>
      <c r="J6" s="86">
        <v>4091</v>
      </c>
      <c r="M6" s="114"/>
      <c r="N6" s="114"/>
      <c r="O6" s="114"/>
      <c r="P6" s="114"/>
      <c r="Q6" s="114"/>
      <c r="R6" s="114"/>
      <c r="S6" s="114"/>
      <c r="T6" s="114"/>
      <c r="U6" s="114"/>
      <c r="V6" s="114"/>
      <c r="W6" s="114"/>
      <c r="X6" s="114"/>
      <c r="Y6" s="114"/>
      <c r="Z6" s="114"/>
      <c r="AA6" s="114"/>
      <c r="AB6" s="114"/>
      <c r="AC6" s="81"/>
    </row>
    <row r="7" spans="1:29" x14ac:dyDescent="0.2">
      <c r="A7" t="s">
        <v>13</v>
      </c>
      <c r="H7" s="86">
        <v>603</v>
      </c>
      <c r="I7" s="87">
        <v>603</v>
      </c>
      <c r="J7" s="86">
        <v>603</v>
      </c>
      <c r="M7" s="114"/>
      <c r="N7" s="114"/>
      <c r="O7" s="114"/>
      <c r="P7" s="114"/>
      <c r="Q7" s="114"/>
      <c r="R7" s="114"/>
      <c r="S7" s="114"/>
      <c r="T7" s="114"/>
      <c r="U7" s="114"/>
      <c r="V7" s="114"/>
      <c r="W7" s="114"/>
      <c r="X7" s="114"/>
      <c r="Y7" s="114"/>
      <c r="Z7" s="114"/>
      <c r="AA7" s="114"/>
      <c r="AB7" s="114"/>
      <c r="AC7" s="81"/>
    </row>
    <row r="8" spans="1:29" x14ac:dyDescent="0.2">
      <c r="A8" t="s">
        <v>14</v>
      </c>
      <c r="H8" s="86">
        <v>0</v>
      </c>
      <c r="I8" s="87">
        <v>0</v>
      </c>
      <c r="J8" s="86">
        <v>0</v>
      </c>
      <c r="M8" s="114"/>
      <c r="N8" s="114"/>
      <c r="O8" s="114"/>
      <c r="P8" s="114"/>
      <c r="Q8" s="114"/>
      <c r="R8" s="114"/>
      <c r="S8" s="114"/>
      <c r="T8" s="114"/>
      <c r="U8" s="114"/>
      <c r="V8" s="114"/>
      <c r="W8" s="114"/>
      <c r="X8" s="114"/>
      <c r="Y8" s="114"/>
      <c r="Z8" s="114"/>
      <c r="AA8" s="114"/>
      <c r="AB8" s="114"/>
      <c r="AC8" s="81"/>
    </row>
    <row r="9" spans="1:29" x14ac:dyDescent="0.2">
      <c r="A9" t="s">
        <v>15</v>
      </c>
      <c r="H9" s="86">
        <v>5325</v>
      </c>
      <c r="I9" s="87">
        <v>5390</v>
      </c>
      <c r="J9" s="86">
        <v>4944</v>
      </c>
      <c r="M9" s="114"/>
      <c r="N9" s="114"/>
      <c r="O9" s="114"/>
      <c r="P9" s="114"/>
      <c r="Q9" s="114"/>
      <c r="R9" s="114"/>
      <c r="S9" s="114"/>
      <c r="T9" s="114"/>
      <c r="U9" s="114"/>
      <c r="V9" s="114"/>
      <c r="W9" s="114"/>
      <c r="X9" s="114"/>
      <c r="Y9" s="114"/>
      <c r="Z9" s="114"/>
      <c r="AA9" s="114"/>
      <c r="AB9" s="114"/>
      <c r="AC9" s="81"/>
    </row>
    <row r="10" spans="1:29" x14ac:dyDescent="0.2">
      <c r="A10" t="s">
        <v>16</v>
      </c>
      <c r="H10" s="86">
        <v>30080</v>
      </c>
      <c r="I10" s="87">
        <v>30080</v>
      </c>
      <c r="J10" s="86">
        <v>30080</v>
      </c>
      <c r="M10" s="114"/>
      <c r="N10" s="114"/>
      <c r="O10" s="114"/>
      <c r="P10" s="114"/>
      <c r="Q10" s="114"/>
      <c r="R10" s="114"/>
      <c r="S10" s="114"/>
      <c r="T10" s="114"/>
      <c r="U10" s="114"/>
      <c r="V10" s="114"/>
      <c r="W10" s="114"/>
      <c r="X10" s="114"/>
      <c r="Y10" s="114"/>
      <c r="Z10" s="114"/>
      <c r="AA10" s="114"/>
      <c r="AB10" s="114"/>
      <c r="AC10" s="81"/>
    </row>
    <row r="11" spans="1:29" x14ac:dyDescent="0.2">
      <c r="A11" t="s">
        <v>17</v>
      </c>
      <c r="H11" s="86">
        <v>30080</v>
      </c>
      <c r="I11" s="87">
        <v>30080</v>
      </c>
      <c r="J11" s="86">
        <v>30080</v>
      </c>
      <c r="M11" s="114"/>
      <c r="N11" s="114"/>
      <c r="O11" s="114"/>
      <c r="P11" s="114"/>
      <c r="Q11" s="114"/>
      <c r="R11" s="114"/>
      <c r="S11" s="114"/>
      <c r="T11" s="114"/>
      <c r="U11" s="114"/>
      <c r="V11" s="114"/>
      <c r="W11" s="114"/>
      <c r="X11" s="114"/>
      <c r="Y11" s="114"/>
      <c r="Z11" s="114"/>
      <c r="AA11" s="114"/>
      <c r="AB11" s="114"/>
      <c r="AC11" s="81"/>
    </row>
    <row r="12" spans="1:29" x14ac:dyDescent="0.2">
      <c r="A12" t="s">
        <v>18</v>
      </c>
      <c r="H12" s="86">
        <v>0</v>
      </c>
      <c r="I12" s="87">
        <v>0</v>
      </c>
      <c r="J12" s="86">
        <v>0</v>
      </c>
      <c r="M12" s="114"/>
      <c r="N12" s="114"/>
      <c r="O12" s="114"/>
      <c r="P12" s="114"/>
      <c r="Q12" s="114"/>
      <c r="R12" s="114"/>
      <c r="S12" s="114"/>
      <c r="T12" s="114"/>
      <c r="U12" s="114"/>
      <c r="V12" s="114"/>
      <c r="W12" s="114"/>
      <c r="X12" s="114"/>
      <c r="Y12" s="114"/>
      <c r="Z12" s="114"/>
      <c r="AA12" s="114"/>
      <c r="AB12" s="114"/>
      <c r="AC12" s="81"/>
    </row>
    <row r="13" spans="1:29" x14ac:dyDescent="0.2">
      <c r="A13" t="s">
        <v>19</v>
      </c>
      <c r="H13" s="86">
        <v>0</v>
      </c>
      <c r="I13" s="87">
        <v>0</v>
      </c>
      <c r="J13" s="86">
        <v>0</v>
      </c>
      <c r="M13" s="114"/>
      <c r="N13" s="114"/>
      <c r="O13" s="114"/>
      <c r="P13" s="114"/>
      <c r="Q13" s="114"/>
      <c r="R13" s="114"/>
      <c r="S13" s="114"/>
      <c r="T13" s="114"/>
      <c r="U13" s="114"/>
      <c r="V13" s="114"/>
      <c r="W13" s="114"/>
      <c r="X13" s="114"/>
      <c r="Y13" s="114"/>
      <c r="Z13" s="114"/>
      <c r="AA13" s="114"/>
      <c r="AB13" s="114"/>
      <c r="AC13" s="81"/>
    </row>
    <row r="14" spans="1:29" x14ac:dyDescent="0.2">
      <c r="A14" t="s">
        <v>20</v>
      </c>
      <c r="H14" s="86">
        <v>64</v>
      </c>
      <c r="I14" s="87">
        <v>45</v>
      </c>
      <c r="J14" s="86">
        <v>105</v>
      </c>
      <c r="M14" s="114"/>
      <c r="N14" s="114"/>
      <c r="O14" s="114"/>
      <c r="P14" s="114"/>
      <c r="Q14" s="114"/>
      <c r="R14" s="114"/>
      <c r="S14" s="114"/>
      <c r="T14" s="114"/>
      <c r="U14" s="114"/>
      <c r="V14" s="114"/>
      <c r="W14" s="114"/>
      <c r="X14" s="114"/>
      <c r="Y14" s="114"/>
      <c r="Z14" s="114"/>
      <c r="AA14" s="114"/>
      <c r="AB14" s="114"/>
      <c r="AC14" s="81"/>
    </row>
    <row r="15" spans="1:29" x14ac:dyDescent="0.2">
      <c r="A15" s="14" t="s">
        <v>21</v>
      </c>
      <c r="B15" s="14"/>
      <c r="C15" s="14"/>
      <c r="D15" s="14"/>
      <c r="E15" s="14"/>
      <c r="F15" s="14"/>
      <c r="G15" s="14"/>
      <c r="H15" s="20">
        <v>63789</v>
      </c>
      <c r="I15" s="20">
        <v>38945</v>
      </c>
      <c r="J15" s="20">
        <v>38445</v>
      </c>
      <c r="M15" s="114"/>
      <c r="N15" s="114"/>
      <c r="O15" s="114"/>
      <c r="P15" s="114"/>
      <c r="Q15" s="114"/>
      <c r="R15" s="114"/>
      <c r="S15" s="114"/>
      <c r="T15" s="114"/>
      <c r="U15" s="114"/>
      <c r="V15" s="114"/>
      <c r="W15" s="114"/>
      <c r="X15" s="114"/>
      <c r="Y15" s="114"/>
      <c r="Z15" s="114"/>
      <c r="AA15" s="114"/>
      <c r="AB15" s="114"/>
      <c r="AC15" s="81"/>
    </row>
    <row r="16" spans="1:29" x14ac:dyDescent="0.2">
      <c r="A16" t="s">
        <v>22</v>
      </c>
      <c r="H16" s="86">
        <v>13408</v>
      </c>
      <c r="I16" s="87">
        <v>15046</v>
      </c>
      <c r="J16" s="86">
        <v>10655</v>
      </c>
      <c r="M16" s="114"/>
      <c r="N16" s="114"/>
      <c r="O16" s="114"/>
      <c r="P16" s="114"/>
      <c r="Q16" s="114"/>
      <c r="R16" s="114"/>
      <c r="S16" s="114"/>
      <c r="T16" s="114"/>
      <c r="U16" s="114"/>
      <c r="V16" s="114"/>
      <c r="W16" s="114"/>
      <c r="X16" s="114"/>
      <c r="Y16" s="114"/>
      <c r="Z16" s="114"/>
      <c r="AA16" s="114"/>
      <c r="AB16" s="114"/>
      <c r="AC16" s="81"/>
    </row>
    <row r="17" spans="1:29" x14ac:dyDescent="0.2">
      <c r="A17" t="s">
        <v>23</v>
      </c>
      <c r="H17" s="86">
        <v>21446</v>
      </c>
      <c r="I17" s="87">
        <v>21273</v>
      </c>
      <c r="J17" s="86">
        <v>24825</v>
      </c>
      <c r="M17" s="114"/>
      <c r="N17" s="114"/>
      <c r="O17" s="114"/>
      <c r="P17" s="114"/>
      <c r="Q17" s="114"/>
      <c r="R17" s="114"/>
      <c r="S17" s="114"/>
      <c r="T17" s="114"/>
      <c r="U17" s="114"/>
      <c r="V17" s="114"/>
      <c r="W17" s="114"/>
      <c r="X17" s="114"/>
      <c r="Y17" s="114"/>
      <c r="Z17" s="114"/>
      <c r="AA17" s="114"/>
      <c r="AB17" s="114"/>
      <c r="AC17" s="81"/>
    </row>
    <row r="18" spans="1:29" x14ac:dyDescent="0.2">
      <c r="A18" t="s">
        <v>24</v>
      </c>
      <c r="H18" s="86">
        <v>554</v>
      </c>
      <c r="I18" s="87">
        <v>0</v>
      </c>
      <c r="J18" s="86">
        <v>0</v>
      </c>
      <c r="M18" s="114"/>
      <c r="N18" s="114"/>
      <c r="O18" s="114"/>
      <c r="P18" s="114"/>
      <c r="Q18" s="114"/>
      <c r="R18" s="114"/>
      <c r="S18" s="114"/>
      <c r="T18" s="114"/>
      <c r="U18" s="114"/>
      <c r="V18" s="114"/>
      <c r="W18" s="114"/>
      <c r="X18" s="114"/>
      <c r="Y18" s="114"/>
      <c r="Z18" s="114"/>
      <c r="AA18" s="114"/>
      <c r="AB18" s="114"/>
      <c r="AC18" s="81"/>
    </row>
    <row r="19" spans="1:29" x14ac:dyDescent="0.2">
      <c r="A19" t="s">
        <v>18</v>
      </c>
      <c r="H19" s="86">
        <v>2003</v>
      </c>
      <c r="I19" s="87">
        <v>2006</v>
      </c>
      <c r="J19" s="86">
        <v>2006</v>
      </c>
      <c r="M19" s="114"/>
      <c r="N19" s="114"/>
      <c r="O19" s="114"/>
      <c r="P19" s="114"/>
      <c r="Q19" s="114"/>
      <c r="R19" s="114"/>
      <c r="S19" s="114"/>
      <c r="T19" s="114"/>
      <c r="U19" s="114"/>
      <c r="V19" s="114"/>
      <c r="W19" s="114"/>
      <c r="X19" s="114"/>
      <c r="Y19" s="114"/>
      <c r="Z19" s="114"/>
      <c r="AA19" s="114"/>
      <c r="AB19" s="114"/>
      <c r="AC19" s="81"/>
    </row>
    <row r="20" spans="1:29" x14ac:dyDescent="0.2">
      <c r="A20" t="s">
        <v>25</v>
      </c>
      <c r="H20" s="86">
        <v>26121</v>
      </c>
      <c r="I20" s="87">
        <v>374</v>
      </c>
      <c r="J20" s="86">
        <v>701</v>
      </c>
      <c r="M20" s="114"/>
      <c r="N20" s="114"/>
      <c r="O20" s="114"/>
      <c r="P20" s="114"/>
      <c r="Q20" s="114"/>
      <c r="R20" s="114"/>
      <c r="S20" s="114"/>
      <c r="T20" s="114"/>
      <c r="U20" s="114"/>
      <c r="V20" s="114"/>
      <c r="W20" s="114"/>
      <c r="X20" s="114"/>
      <c r="Y20" s="114"/>
      <c r="Z20" s="114"/>
      <c r="AA20" s="114"/>
      <c r="AB20" s="114"/>
      <c r="AC20" s="81"/>
    </row>
    <row r="21" spans="1:29" x14ac:dyDescent="0.2">
      <c r="A21" t="s">
        <v>26</v>
      </c>
      <c r="H21" s="86">
        <v>257</v>
      </c>
      <c r="I21" s="87">
        <v>246</v>
      </c>
      <c r="J21" s="86">
        <v>258</v>
      </c>
      <c r="M21" s="114"/>
      <c r="N21" s="114"/>
      <c r="O21" s="114"/>
      <c r="P21" s="114"/>
      <c r="Q21" s="114"/>
      <c r="R21" s="114"/>
      <c r="S21" s="114"/>
      <c r="T21" s="114"/>
      <c r="U21" s="114"/>
      <c r="V21" s="114"/>
      <c r="W21" s="114"/>
      <c r="X21" s="114"/>
      <c r="Y21" s="114"/>
      <c r="Z21" s="114"/>
      <c r="AA21" s="114"/>
      <c r="AB21" s="114"/>
      <c r="AC21" s="81"/>
    </row>
    <row r="22" spans="1:29" x14ac:dyDescent="0.2">
      <c r="A22" t="s">
        <v>27</v>
      </c>
      <c r="H22" s="86">
        <v>0</v>
      </c>
      <c r="I22" s="87">
        <v>0</v>
      </c>
      <c r="J22" s="86">
        <v>0</v>
      </c>
      <c r="M22" s="114"/>
      <c r="N22" s="114"/>
      <c r="O22" s="114"/>
      <c r="P22" s="114"/>
      <c r="Q22" s="114"/>
      <c r="R22" s="114"/>
      <c r="S22" s="114"/>
      <c r="T22" s="114"/>
      <c r="U22" s="114"/>
      <c r="V22" s="114"/>
      <c r="W22" s="114"/>
      <c r="X22" s="114"/>
      <c r="Y22" s="114"/>
      <c r="Z22" s="114"/>
      <c r="AA22" s="114"/>
      <c r="AB22" s="114"/>
      <c r="AC22" s="81"/>
    </row>
    <row r="23" spans="1:29" x14ac:dyDescent="0.2">
      <c r="A23" s="14" t="s">
        <v>28</v>
      </c>
      <c r="B23" s="14"/>
      <c r="C23" s="14"/>
      <c r="D23" s="14"/>
      <c r="E23" s="14"/>
      <c r="F23" s="14"/>
      <c r="G23" s="14"/>
      <c r="H23" s="96">
        <v>182617</v>
      </c>
      <c r="I23" s="96">
        <v>155836</v>
      </c>
      <c r="J23" s="96">
        <v>151712</v>
      </c>
      <c r="M23" s="114"/>
      <c r="N23" s="114"/>
      <c r="O23" s="114"/>
      <c r="P23" s="114"/>
      <c r="Q23" s="114"/>
      <c r="R23" s="114"/>
      <c r="S23" s="114"/>
      <c r="T23" s="114"/>
      <c r="U23" s="114"/>
      <c r="V23" s="114"/>
      <c r="W23" s="114"/>
      <c r="X23" s="114"/>
      <c r="Y23" s="114"/>
      <c r="Z23" s="114"/>
      <c r="AA23" s="114"/>
      <c r="AB23" s="114"/>
      <c r="AC23" s="81"/>
    </row>
    <row r="24" spans="1:29" ht="17.25" customHeight="1" x14ac:dyDescent="0.2">
      <c r="M24" s="114"/>
      <c r="N24" s="114"/>
      <c r="O24" s="114"/>
      <c r="P24" s="114"/>
      <c r="Q24" s="114"/>
      <c r="R24" s="114"/>
      <c r="S24" s="114"/>
      <c r="T24" s="114"/>
      <c r="U24" s="114"/>
      <c r="V24" s="114"/>
      <c r="W24" s="114"/>
      <c r="X24" s="114"/>
      <c r="Y24" s="114"/>
      <c r="Z24" s="114"/>
      <c r="AA24" s="114"/>
      <c r="AB24" s="114"/>
      <c r="AC24" s="81"/>
    </row>
    <row r="25" spans="1:29" ht="15" customHeight="1" x14ac:dyDescent="0.2">
      <c r="A25" s="1"/>
      <c r="M25" s="114"/>
      <c r="N25" s="114"/>
      <c r="O25" s="114"/>
      <c r="P25" s="114"/>
      <c r="Q25" s="114"/>
      <c r="R25" s="114"/>
      <c r="S25" s="114"/>
      <c r="T25" s="114"/>
      <c r="U25" s="114"/>
      <c r="V25" s="114"/>
      <c r="W25" s="114"/>
      <c r="X25" s="114"/>
      <c r="Y25" s="114"/>
      <c r="Z25" s="114"/>
      <c r="AA25" s="114"/>
      <c r="AB25" s="114"/>
    </row>
    <row r="26" spans="1:29" ht="14.5" customHeight="1" x14ac:dyDescent="0.2">
      <c r="A26" s="56" t="s">
        <v>29</v>
      </c>
      <c r="B26" s="56"/>
      <c r="C26" s="56"/>
      <c r="D26" s="56"/>
      <c r="E26" s="56"/>
      <c r="F26" s="56"/>
      <c r="G26" s="56"/>
      <c r="H26" s="56">
        <v>2021</v>
      </c>
      <c r="I26" s="56">
        <v>2020</v>
      </c>
      <c r="J26" s="56">
        <v>2019</v>
      </c>
      <c r="M26" s="114" t="s">
        <v>315</v>
      </c>
      <c r="N26" s="114"/>
      <c r="O26" s="114"/>
      <c r="P26" s="114"/>
      <c r="Q26" s="114"/>
      <c r="R26" s="114"/>
      <c r="S26" s="114"/>
      <c r="T26" s="114"/>
      <c r="U26" s="114"/>
      <c r="V26" s="114"/>
      <c r="W26" s="114"/>
      <c r="X26" s="114"/>
      <c r="Y26" s="114"/>
      <c r="Z26" s="114"/>
      <c r="AA26" s="114"/>
      <c r="AB26" s="114"/>
    </row>
    <row r="27" spans="1:29" x14ac:dyDescent="0.2">
      <c r="A27" s="14" t="s">
        <v>30</v>
      </c>
      <c r="B27" s="14"/>
      <c r="C27" s="14"/>
      <c r="D27" s="14"/>
      <c r="E27" s="14"/>
      <c r="F27" s="14"/>
      <c r="G27" s="14"/>
      <c r="H27" s="20">
        <v>96900</v>
      </c>
      <c r="I27" s="20">
        <v>81805</v>
      </c>
      <c r="J27" s="20">
        <v>77366</v>
      </c>
      <c r="M27" s="114"/>
      <c r="N27" s="114"/>
      <c r="O27" s="114"/>
      <c r="P27" s="114"/>
      <c r="Q27" s="114"/>
      <c r="R27" s="114"/>
      <c r="S27" s="114"/>
      <c r="T27" s="114"/>
      <c r="U27" s="114"/>
      <c r="V27" s="114"/>
      <c r="W27" s="114"/>
      <c r="X27" s="114"/>
      <c r="Y27" s="114"/>
      <c r="Z27" s="114"/>
      <c r="AA27" s="114"/>
      <c r="AB27" s="114"/>
    </row>
    <row r="28" spans="1:29" ht="14.5" customHeight="1" x14ac:dyDescent="0.2">
      <c r="A28" s="1" t="s">
        <v>31</v>
      </c>
      <c r="H28" s="86">
        <v>27750</v>
      </c>
      <c r="I28" s="87">
        <v>27750</v>
      </c>
      <c r="J28" s="86">
        <v>27750</v>
      </c>
      <c r="M28" s="114"/>
      <c r="N28" s="114"/>
      <c r="O28" s="114"/>
      <c r="P28" s="114"/>
      <c r="Q28" s="114"/>
      <c r="R28" s="114"/>
      <c r="S28" s="114"/>
      <c r="T28" s="114"/>
      <c r="U28" s="114"/>
      <c r="V28" s="114"/>
      <c r="W28" s="114"/>
      <c r="X28" s="114"/>
      <c r="Y28" s="114"/>
      <c r="Z28" s="114"/>
      <c r="AA28" s="114"/>
      <c r="AB28" s="114"/>
    </row>
    <row r="29" spans="1:29" ht="14.5" customHeight="1" x14ac:dyDescent="0.2">
      <c r="A29" t="s">
        <v>32</v>
      </c>
      <c r="H29" s="86">
        <v>39228</v>
      </c>
      <c r="I29" s="87">
        <v>35303</v>
      </c>
      <c r="J29" s="86">
        <v>32362</v>
      </c>
      <c r="M29" s="114"/>
      <c r="N29" s="114"/>
      <c r="O29" s="114"/>
      <c r="P29" s="114"/>
      <c r="Q29" s="114"/>
      <c r="R29" s="114"/>
      <c r="S29" s="114"/>
      <c r="T29" s="114"/>
      <c r="U29" s="114"/>
      <c r="V29" s="114"/>
      <c r="W29" s="114"/>
      <c r="X29" s="114"/>
      <c r="Y29" s="114"/>
      <c r="Z29" s="114"/>
      <c r="AA29" s="114"/>
      <c r="AB29" s="114"/>
    </row>
    <row r="30" spans="1:29" x14ac:dyDescent="0.2">
      <c r="A30" s="1" t="s">
        <v>33</v>
      </c>
      <c r="H30" s="86">
        <v>24888</v>
      </c>
      <c r="I30" s="87">
        <v>12000</v>
      </c>
      <c r="J30" s="86">
        <v>12000</v>
      </c>
      <c r="M30" s="114"/>
      <c r="N30" s="114"/>
      <c r="O30" s="114"/>
      <c r="P30" s="114"/>
      <c r="Q30" s="114"/>
      <c r="R30" s="114"/>
      <c r="S30" s="114"/>
      <c r="T30" s="114"/>
      <c r="U30" s="114"/>
      <c r="V30" s="114"/>
      <c r="W30" s="114"/>
      <c r="X30" s="114"/>
      <c r="Y30" s="114"/>
      <c r="Z30" s="114"/>
      <c r="AA30" s="114"/>
      <c r="AB30" s="114"/>
    </row>
    <row r="31" spans="1:29" x14ac:dyDescent="0.2">
      <c r="A31" t="s">
        <v>34</v>
      </c>
      <c r="H31" s="86">
        <v>5034</v>
      </c>
      <c r="I31" s="87">
        <v>6752</v>
      </c>
      <c r="J31" s="86">
        <v>5586</v>
      </c>
    </row>
    <row r="32" spans="1:29" x14ac:dyDescent="0.2">
      <c r="A32" s="14" t="s">
        <v>35</v>
      </c>
      <c r="B32" s="14"/>
      <c r="C32" s="14"/>
      <c r="D32" s="14"/>
      <c r="E32" s="14"/>
      <c r="F32" s="14"/>
      <c r="G32" s="14"/>
      <c r="H32" s="20">
        <v>41997</v>
      </c>
      <c r="I32" s="20">
        <v>32616</v>
      </c>
      <c r="J32" s="20">
        <v>34449</v>
      </c>
      <c r="M32" s="33"/>
    </row>
    <row r="33" spans="1:13" x14ac:dyDescent="0.2">
      <c r="A33" t="s">
        <v>36</v>
      </c>
      <c r="H33" s="86">
        <v>3065</v>
      </c>
      <c r="I33" s="87">
        <v>2942</v>
      </c>
      <c r="J33" s="86">
        <v>3250</v>
      </c>
    </row>
    <row r="34" spans="1:13" x14ac:dyDescent="0.2">
      <c r="A34" t="s">
        <v>37</v>
      </c>
      <c r="H34" s="86">
        <v>18027</v>
      </c>
      <c r="I34" s="87">
        <v>7949</v>
      </c>
      <c r="J34" s="86">
        <v>14772</v>
      </c>
      <c r="M34" s="33"/>
    </row>
    <row r="35" spans="1:13" x14ac:dyDescent="0.2">
      <c r="A35" t="s">
        <v>38</v>
      </c>
      <c r="H35" s="86">
        <v>215</v>
      </c>
      <c r="I35" s="87">
        <v>1104</v>
      </c>
      <c r="J35" s="86">
        <v>0</v>
      </c>
    </row>
    <row r="36" spans="1:13" x14ac:dyDescent="0.2">
      <c r="A36" s="1" t="s">
        <v>39</v>
      </c>
      <c r="H36" s="86">
        <v>345</v>
      </c>
      <c r="I36" s="87">
        <v>336</v>
      </c>
      <c r="J36" s="86">
        <v>300</v>
      </c>
      <c r="M36" s="108"/>
    </row>
    <row r="37" spans="1:13" x14ac:dyDescent="0.2">
      <c r="A37" t="s">
        <v>40</v>
      </c>
      <c r="H37" s="86">
        <v>16777</v>
      </c>
      <c r="I37" s="87">
        <v>16944</v>
      </c>
      <c r="J37" s="86">
        <v>11711</v>
      </c>
    </row>
    <row r="38" spans="1:13" x14ac:dyDescent="0.2">
      <c r="A38" t="s">
        <v>41</v>
      </c>
      <c r="H38" s="86">
        <v>3568</v>
      </c>
      <c r="I38" s="87">
        <v>3341</v>
      </c>
      <c r="J38" s="86">
        <v>1141</v>
      </c>
    </row>
    <row r="39" spans="1:13" x14ac:dyDescent="0.2">
      <c r="A39" s="14" t="s">
        <v>42</v>
      </c>
      <c r="B39" s="14"/>
      <c r="C39" s="14"/>
      <c r="D39" s="14"/>
      <c r="E39" s="14"/>
      <c r="F39" s="14"/>
      <c r="G39" s="14"/>
      <c r="H39" s="20">
        <v>43720</v>
      </c>
      <c r="I39" s="20">
        <v>41415</v>
      </c>
      <c r="J39" s="20">
        <v>39897</v>
      </c>
    </row>
    <row r="40" spans="1:13" x14ac:dyDescent="0.2">
      <c r="A40" t="s">
        <v>43</v>
      </c>
      <c r="H40" s="86">
        <v>11432</v>
      </c>
      <c r="I40" s="87">
        <v>11336</v>
      </c>
      <c r="J40" s="86">
        <v>10907</v>
      </c>
    </row>
    <row r="41" spans="1:13" x14ac:dyDescent="0.2">
      <c r="A41" t="s">
        <v>44</v>
      </c>
      <c r="H41" s="86">
        <v>368</v>
      </c>
      <c r="I41" s="87">
        <v>368</v>
      </c>
      <c r="J41" s="86">
        <v>0</v>
      </c>
    </row>
    <row r="42" spans="1:13" x14ac:dyDescent="0.2">
      <c r="A42" t="s">
        <v>45</v>
      </c>
      <c r="H42" s="86">
        <v>1391</v>
      </c>
      <c r="I42" s="87">
        <v>1381</v>
      </c>
      <c r="J42" s="86">
        <v>685</v>
      </c>
    </row>
    <row r="43" spans="1:13" x14ac:dyDescent="0.2">
      <c r="A43" t="s">
        <v>46</v>
      </c>
      <c r="H43" s="86">
        <v>28365</v>
      </c>
      <c r="I43" s="87">
        <v>24999</v>
      </c>
      <c r="J43" s="86">
        <v>25411</v>
      </c>
    </row>
    <row r="44" spans="1:13" x14ac:dyDescent="0.2">
      <c r="A44" t="s">
        <v>47</v>
      </c>
      <c r="H44" s="86">
        <v>0</v>
      </c>
      <c r="I44" s="87">
        <v>1001</v>
      </c>
      <c r="J44" s="86">
        <v>426</v>
      </c>
    </row>
    <row r="45" spans="1:13" x14ac:dyDescent="0.2">
      <c r="A45" t="s">
        <v>48</v>
      </c>
      <c r="H45" s="86">
        <v>1302</v>
      </c>
      <c r="I45" s="87">
        <v>1149</v>
      </c>
      <c r="J45" s="86">
        <v>885</v>
      </c>
    </row>
    <row r="46" spans="1:13" x14ac:dyDescent="0.2">
      <c r="A46" t="s">
        <v>49</v>
      </c>
      <c r="H46" s="86">
        <v>862</v>
      </c>
      <c r="I46" s="87">
        <v>1181</v>
      </c>
      <c r="J46" s="86">
        <v>699</v>
      </c>
    </row>
    <row r="47" spans="1:13" x14ac:dyDescent="0.2">
      <c r="A47" t="s">
        <v>50</v>
      </c>
      <c r="H47" s="86">
        <v>0</v>
      </c>
      <c r="I47" s="87">
        <v>0</v>
      </c>
      <c r="J47" s="86">
        <v>0</v>
      </c>
    </row>
    <row r="48" spans="1:13" x14ac:dyDescent="0.2">
      <c r="A48" s="14" t="s">
        <v>51</v>
      </c>
      <c r="B48" s="14"/>
      <c r="C48" s="14"/>
      <c r="D48" s="14"/>
      <c r="E48" s="14"/>
      <c r="F48" s="14"/>
      <c r="G48" s="14"/>
      <c r="H48" s="20">
        <v>85717</v>
      </c>
      <c r="I48" s="20">
        <v>74031</v>
      </c>
      <c r="J48" s="20">
        <v>74346</v>
      </c>
    </row>
    <row r="49" spans="1:10" x14ac:dyDescent="0.2">
      <c r="A49" s="14" t="s">
        <v>52</v>
      </c>
      <c r="B49" s="14"/>
      <c r="C49" s="14"/>
      <c r="D49" s="14"/>
      <c r="E49" s="14"/>
      <c r="F49" s="14"/>
      <c r="G49" s="14"/>
      <c r="H49" s="20">
        <v>182617</v>
      </c>
      <c r="I49" s="20">
        <v>155836</v>
      </c>
      <c r="J49" s="20">
        <v>151712</v>
      </c>
    </row>
    <row r="50" spans="1:10" x14ac:dyDescent="0.2">
      <c r="H50" s="2"/>
      <c r="I50" s="2"/>
      <c r="J50" s="2"/>
    </row>
    <row r="51" spans="1:10" x14ac:dyDescent="0.2">
      <c r="H51" s="2"/>
      <c r="I51" s="2"/>
      <c r="J51" s="2"/>
    </row>
    <row r="52" spans="1:10" x14ac:dyDescent="0.2">
      <c r="A52" s="56" t="s">
        <v>53</v>
      </c>
      <c r="B52" s="56"/>
      <c r="C52" s="56"/>
      <c r="D52" s="56"/>
      <c r="E52" s="56"/>
      <c r="F52" s="56"/>
      <c r="G52" s="56"/>
      <c r="H52" s="56">
        <v>2021</v>
      </c>
      <c r="I52" s="56">
        <v>2020</v>
      </c>
      <c r="J52" s="56">
        <v>2019</v>
      </c>
    </row>
    <row r="53" spans="1:10" x14ac:dyDescent="0.2">
      <c r="A53" s="14" t="s">
        <v>54</v>
      </c>
      <c r="B53" s="14"/>
      <c r="C53" s="14"/>
      <c r="D53" s="14"/>
      <c r="E53" s="14"/>
      <c r="F53" s="14"/>
      <c r="G53" s="14"/>
      <c r="H53" s="14"/>
      <c r="I53" s="14"/>
      <c r="J53" s="14"/>
    </row>
    <row r="54" spans="1:10" x14ac:dyDescent="0.2">
      <c r="A54" t="s">
        <v>55</v>
      </c>
      <c r="H54" s="86">
        <v>6038</v>
      </c>
      <c r="I54" s="87">
        <v>8566</v>
      </c>
      <c r="J54" s="86">
        <v>7034</v>
      </c>
    </row>
    <row r="55" spans="1:10" x14ac:dyDescent="0.2">
      <c r="A55" t="s">
        <v>56</v>
      </c>
      <c r="H55" s="86"/>
      <c r="I55" s="87">
        <v>3140</v>
      </c>
      <c r="J55" s="86">
        <v>3827</v>
      </c>
    </row>
    <row r="56" spans="1:10" x14ac:dyDescent="0.2">
      <c r="A56" t="s">
        <v>57</v>
      </c>
      <c r="H56" s="86">
        <v>6110</v>
      </c>
      <c r="I56" s="87">
        <v>5891</v>
      </c>
      <c r="J56" s="86">
        <v>5228</v>
      </c>
    </row>
    <row r="57" spans="1:10" x14ac:dyDescent="0.2">
      <c r="A57" t="s">
        <v>58</v>
      </c>
      <c r="H57" s="86">
        <v>5</v>
      </c>
      <c r="I57" s="87">
        <v>-7</v>
      </c>
      <c r="J57" s="86">
        <v>7</v>
      </c>
    </row>
    <row r="58" spans="1:10" x14ac:dyDescent="0.2">
      <c r="A58" t="s">
        <v>59</v>
      </c>
      <c r="H58" s="86">
        <v>443</v>
      </c>
      <c r="I58" s="87">
        <v>609</v>
      </c>
      <c r="J58" s="86">
        <v>858</v>
      </c>
    </row>
    <row r="59" spans="1:10" x14ac:dyDescent="0.2">
      <c r="A59" s="1" t="s">
        <v>60</v>
      </c>
      <c r="H59" s="86">
        <v>-70</v>
      </c>
      <c r="I59" s="87">
        <v>-727</v>
      </c>
      <c r="J59" s="86">
        <v>-62</v>
      </c>
    </row>
    <row r="60" spans="1:10" x14ac:dyDescent="0.2">
      <c r="A60" s="1" t="s">
        <v>61</v>
      </c>
      <c r="H60" s="86">
        <v>-310</v>
      </c>
      <c r="I60" s="87">
        <v>518</v>
      </c>
      <c r="J60" s="86">
        <v>88</v>
      </c>
    </row>
    <row r="61" spans="1:10" x14ac:dyDescent="0.2">
      <c r="A61" t="s">
        <v>62</v>
      </c>
      <c r="H61" s="86">
        <v>1639</v>
      </c>
      <c r="I61" s="87">
        <v>-4391</v>
      </c>
      <c r="J61" s="86">
        <v>712</v>
      </c>
    </row>
    <row r="62" spans="1:10" x14ac:dyDescent="0.2">
      <c r="A62" s="1" t="s">
        <v>63</v>
      </c>
      <c r="H62" s="86">
        <v>-128</v>
      </c>
      <c r="I62" s="87">
        <v>3628</v>
      </c>
      <c r="J62" s="86">
        <v>-2380</v>
      </c>
    </row>
    <row r="63" spans="1:10" x14ac:dyDescent="0.2">
      <c r="A63" t="s">
        <v>64</v>
      </c>
      <c r="H63" s="86">
        <v>2372</v>
      </c>
      <c r="I63" s="87">
        <v>-292</v>
      </c>
      <c r="J63" s="86">
        <v>686</v>
      </c>
    </row>
    <row r="64" spans="1:10" x14ac:dyDescent="0.2">
      <c r="A64" t="s">
        <v>65</v>
      </c>
      <c r="H64" s="86">
        <v>-1591</v>
      </c>
      <c r="I64" s="87">
        <v>-542</v>
      </c>
      <c r="J64" s="86">
        <v>0</v>
      </c>
    </row>
    <row r="65" spans="1:10" x14ac:dyDescent="0.2">
      <c r="A65" t="s">
        <v>66</v>
      </c>
      <c r="H65" s="86">
        <v>8470</v>
      </c>
      <c r="I65" s="87">
        <v>4687</v>
      </c>
      <c r="J65" s="86">
        <v>0</v>
      </c>
    </row>
    <row r="66" spans="1:10" x14ac:dyDescent="0.2">
      <c r="A66" s="1" t="s">
        <v>67</v>
      </c>
      <c r="H66" s="86">
        <v>0</v>
      </c>
      <c r="I66" s="87">
        <v>0</v>
      </c>
      <c r="J66" s="86">
        <v>0</v>
      </c>
    </row>
    <row r="67" spans="1:10" x14ac:dyDescent="0.2">
      <c r="A67" t="s">
        <v>68</v>
      </c>
      <c r="H67" s="86">
        <v>-2436</v>
      </c>
      <c r="I67" s="87">
        <v>-1547</v>
      </c>
      <c r="J67" s="86">
        <v>-1310</v>
      </c>
    </row>
    <row r="68" spans="1:10" x14ac:dyDescent="0.2">
      <c r="A68" s="4" t="s">
        <v>69</v>
      </c>
      <c r="B68" s="4"/>
      <c r="C68" s="4"/>
      <c r="D68" s="4"/>
      <c r="E68" s="4"/>
      <c r="F68" s="4"/>
      <c r="G68" s="4"/>
      <c r="H68" s="23">
        <v>12072</v>
      </c>
      <c r="I68" s="23">
        <v>11706</v>
      </c>
      <c r="J68" s="23">
        <v>10861</v>
      </c>
    </row>
    <row r="69" spans="1:10" x14ac:dyDescent="0.2">
      <c r="A69" s="14" t="s">
        <v>70</v>
      </c>
      <c r="B69" s="14"/>
      <c r="C69" s="14"/>
      <c r="D69" s="14"/>
      <c r="E69" s="14"/>
      <c r="F69" s="14"/>
      <c r="G69" s="14"/>
      <c r="H69" s="14"/>
      <c r="I69" s="14"/>
      <c r="J69" s="14"/>
    </row>
    <row r="70" spans="1:10" x14ac:dyDescent="0.2">
      <c r="A70" t="s">
        <v>71</v>
      </c>
      <c r="H70" s="86">
        <v>521</v>
      </c>
      <c r="I70" s="87">
        <v>1914</v>
      </c>
      <c r="J70" s="86">
        <v>511</v>
      </c>
    </row>
    <row r="71" spans="1:10" x14ac:dyDescent="0.2">
      <c r="A71" t="s">
        <v>72</v>
      </c>
      <c r="H71" s="86">
        <v>0</v>
      </c>
      <c r="I71" s="87">
        <v>0</v>
      </c>
      <c r="J71" s="86">
        <v>0</v>
      </c>
    </row>
    <row r="72" spans="1:10" x14ac:dyDescent="0.2">
      <c r="A72" t="s">
        <v>73</v>
      </c>
      <c r="H72" s="86">
        <v>-7050</v>
      </c>
      <c r="I72" s="87">
        <v>-11502</v>
      </c>
      <c r="J72" s="86">
        <v>-16569</v>
      </c>
    </row>
    <row r="73" spans="1:10" x14ac:dyDescent="0.2">
      <c r="A73" s="1" t="s">
        <v>74</v>
      </c>
      <c r="H73" s="86">
        <v>0</v>
      </c>
      <c r="I73" s="87">
        <v>0</v>
      </c>
      <c r="J73" s="86">
        <v>0</v>
      </c>
    </row>
    <row r="74" spans="1:10" x14ac:dyDescent="0.2">
      <c r="A74" t="s">
        <v>75</v>
      </c>
      <c r="H74" s="86">
        <v>40</v>
      </c>
      <c r="I74" s="87">
        <v>66</v>
      </c>
      <c r="J74" s="86">
        <v>66</v>
      </c>
    </row>
    <row r="75" spans="1:10" x14ac:dyDescent="0.2">
      <c r="A75" t="s">
        <v>76</v>
      </c>
      <c r="H75" s="86">
        <v>0</v>
      </c>
      <c r="I75" s="87">
        <v>0</v>
      </c>
      <c r="J75" s="86">
        <v>0</v>
      </c>
    </row>
    <row r="76" spans="1:10" x14ac:dyDescent="0.2">
      <c r="A76" t="s">
        <v>18</v>
      </c>
      <c r="H76" s="86">
        <v>0</v>
      </c>
      <c r="I76" s="87">
        <v>0</v>
      </c>
      <c r="J76" s="86">
        <v>0</v>
      </c>
    </row>
    <row r="77" spans="1:10" x14ac:dyDescent="0.2">
      <c r="A77" t="s">
        <v>77</v>
      </c>
      <c r="H77" s="86">
        <v>0</v>
      </c>
      <c r="I77" s="87">
        <v>0</v>
      </c>
      <c r="J77" s="86">
        <v>0</v>
      </c>
    </row>
    <row r="78" spans="1:10" x14ac:dyDescent="0.2">
      <c r="A78" s="4" t="s">
        <v>78</v>
      </c>
      <c r="B78" s="4"/>
      <c r="C78" s="4"/>
      <c r="D78" s="4"/>
      <c r="E78" s="4"/>
      <c r="F78" s="4"/>
      <c r="G78" s="4"/>
      <c r="H78" s="23">
        <v>-6489</v>
      </c>
      <c r="I78" s="23">
        <v>-9522</v>
      </c>
      <c r="J78" s="23">
        <v>-15992</v>
      </c>
    </row>
    <row r="79" spans="1:10" x14ac:dyDescent="0.2">
      <c r="A79" s="14" t="s">
        <v>79</v>
      </c>
      <c r="B79" s="14"/>
      <c r="C79" s="14"/>
      <c r="D79" s="14"/>
      <c r="E79" s="14"/>
      <c r="F79" s="14"/>
      <c r="G79" s="14"/>
      <c r="H79" s="14"/>
      <c r="I79" s="14"/>
      <c r="J79" s="14"/>
    </row>
    <row r="80" spans="1:10" x14ac:dyDescent="0.2">
      <c r="A80" t="s">
        <v>80</v>
      </c>
      <c r="H80" s="86">
        <v>20669</v>
      </c>
      <c r="I80" s="87">
        <v>3922</v>
      </c>
      <c r="J80" s="86">
        <v>15459</v>
      </c>
    </row>
    <row r="81" spans="1:10" x14ac:dyDescent="0.2">
      <c r="A81" t="s">
        <v>81</v>
      </c>
      <c r="H81" s="86">
        <v>12888</v>
      </c>
      <c r="I81" s="87">
        <v>0</v>
      </c>
      <c r="J81" s="86">
        <v>0</v>
      </c>
    </row>
    <row r="82" spans="1:10" x14ac:dyDescent="0.2">
      <c r="A82" s="1" t="s">
        <v>82</v>
      </c>
      <c r="H82" s="86">
        <v>-10495</v>
      </c>
      <c r="I82" s="87">
        <v>-10316</v>
      </c>
      <c r="J82" s="86">
        <v>-11490</v>
      </c>
    </row>
    <row r="83" spans="1:10" x14ac:dyDescent="0.2">
      <c r="A83" t="s">
        <v>83</v>
      </c>
      <c r="H83" s="86">
        <v>-1685</v>
      </c>
      <c r="I83" s="87">
        <v>-1686</v>
      </c>
      <c r="J83" s="86">
        <v>-1947</v>
      </c>
    </row>
    <row r="84" spans="1:10" x14ac:dyDescent="0.2">
      <c r="A84" t="s">
        <v>84</v>
      </c>
      <c r="H84" s="86">
        <v>-481</v>
      </c>
      <c r="I84" s="87">
        <v>-675</v>
      </c>
      <c r="J84" s="86">
        <v>-924</v>
      </c>
    </row>
    <row r="85" spans="1:10" x14ac:dyDescent="0.2">
      <c r="A85" t="s">
        <v>85</v>
      </c>
      <c r="H85" s="86">
        <v>-153</v>
      </c>
      <c r="I85" s="87">
        <v>0</v>
      </c>
      <c r="J85" s="86">
        <v>0</v>
      </c>
    </row>
    <row r="86" spans="1:10" x14ac:dyDescent="0.2">
      <c r="A86" t="s">
        <v>86</v>
      </c>
      <c r="H86" s="86">
        <v>-2775</v>
      </c>
      <c r="I86" s="87">
        <v>-2313</v>
      </c>
      <c r="J86" s="86">
        <v>-2313</v>
      </c>
    </row>
    <row r="87" spans="1:10" x14ac:dyDescent="0.2">
      <c r="A87" t="s">
        <v>87</v>
      </c>
      <c r="H87" s="86">
        <v>0</v>
      </c>
      <c r="I87" s="87">
        <v>0</v>
      </c>
      <c r="J87" s="86">
        <v>0</v>
      </c>
    </row>
    <row r="88" spans="1:10" x14ac:dyDescent="0.2">
      <c r="A88" t="s">
        <v>88</v>
      </c>
      <c r="H88" s="86">
        <v>2201</v>
      </c>
      <c r="I88" s="87">
        <v>8550</v>
      </c>
      <c r="J88" s="86">
        <v>0</v>
      </c>
    </row>
    <row r="89" spans="1:10" x14ac:dyDescent="0.2">
      <c r="A89" s="4" t="s">
        <v>89</v>
      </c>
      <c r="B89" s="4"/>
      <c r="C89" s="4"/>
      <c r="D89" s="4"/>
      <c r="E89" s="4"/>
      <c r="F89" s="4"/>
      <c r="G89" s="4"/>
      <c r="H89" s="23">
        <v>20169</v>
      </c>
      <c r="I89" s="23">
        <v>-2518</v>
      </c>
      <c r="J89" s="23">
        <v>5545</v>
      </c>
    </row>
    <row r="90" spans="1:10" ht="29" customHeight="1" x14ac:dyDescent="0.2">
      <c r="A90" s="113" t="s">
        <v>90</v>
      </c>
      <c r="B90" s="113"/>
      <c r="C90" s="113"/>
      <c r="D90" s="113"/>
      <c r="E90" s="113"/>
      <c r="F90" s="113"/>
      <c r="G90" s="113"/>
      <c r="H90" s="86">
        <v>25752</v>
      </c>
      <c r="I90" s="87">
        <v>-334</v>
      </c>
      <c r="J90" s="86">
        <v>414</v>
      </c>
    </row>
    <row r="91" spans="1:10" ht="29" customHeight="1" x14ac:dyDescent="0.2">
      <c r="A91" s="111" t="s">
        <v>91</v>
      </c>
      <c r="B91" s="111"/>
      <c r="C91" s="111"/>
      <c r="D91" s="111"/>
      <c r="E91" s="111"/>
      <c r="F91" s="111"/>
      <c r="G91" s="111"/>
      <c r="H91" s="86">
        <v>374</v>
      </c>
      <c r="I91" s="87">
        <v>701</v>
      </c>
      <c r="J91" s="86">
        <v>294</v>
      </c>
    </row>
    <row r="92" spans="1:10" ht="42" customHeight="1" x14ac:dyDescent="0.2">
      <c r="A92" s="111" t="s">
        <v>92</v>
      </c>
      <c r="B92" s="111"/>
      <c r="C92" s="111"/>
      <c r="D92" s="111"/>
      <c r="E92" s="111"/>
      <c r="F92" s="111"/>
      <c r="G92" s="111"/>
      <c r="H92" s="86">
        <v>-5</v>
      </c>
      <c r="I92" s="87">
        <v>7</v>
      </c>
      <c r="J92" s="86">
        <v>-7</v>
      </c>
    </row>
    <row r="93" spans="1:10" ht="28.25" customHeight="1" x14ac:dyDescent="0.2">
      <c r="A93" s="111" t="s">
        <v>93</v>
      </c>
      <c r="B93" s="111"/>
      <c r="C93" s="111"/>
      <c r="D93" s="111"/>
      <c r="E93" s="111"/>
      <c r="F93" s="111"/>
      <c r="G93" s="111"/>
      <c r="H93" s="86">
        <v>26121</v>
      </c>
      <c r="I93" s="87">
        <v>374</v>
      </c>
      <c r="J93" s="86">
        <v>701</v>
      </c>
    </row>
    <row r="94" spans="1:10" x14ac:dyDescent="0.2">
      <c r="A94" s="1"/>
      <c r="H94" s="2"/>
      <c r="I94" s="2"/>
      <c r="J94" s="2"/>
    </row>
    <row r="95" spans="1:10" x14ac:dyDescent="0.2">
      <c r="H95" s="2"/>
      <c r="I95" s="2"/>
      <c r="J95" s="2"/>
    </row>
    <row r="96" spans="1:10" x14ac:dyDescent="0.2">
      <c r="A96" s="56" t="s">
        <v>94</v>
      </c>
      <c r="B96" s="56"/>
      <c r="C96" s="56"/>
      <c r="D96" s="56"/>
      <c r="E96" s="56"/>
      <c r="F96" s="56"/>
      <c r="G96" s="56"/>
      <c r="H96" s="56">
        <v>2021</v>
      </c>
      <c r="I96" s="56">
        <v>2020</v>
      </c>
      <c r="J96" s="56">
        <v>2019</v>
      </c>
    </row>
    <row r="97" spans="1:10" x14ac:dyDescent="0.2">
      <c r="A97" s="23" t="s">
        <v>95</v>
      </c>
      <c r="B97" s="23"/>
      <c r="C97" s="23"/>
      <c r="D97" s="23"/>
      <c r="E97" s="23"/>
      <c r="F97" s="23"/>
      <c r="G97" s="23"/>
      <c r="H97" s="23">
        <v>155561</v>
      </c>
      <c r="I97" s="23">
        <v>172039</v>
      </c>
      <c r="J97" s="23">
        <v>151251</v>
      </c>
    </row>
    <row r="98" spans="1:10" x14ac:dyDescent="0.2">
      <c r="A98" t="s">
        <v>96</v>
      </c>
      <c r="H98" s="86"/>
      <c r="I98" s="87"/>
      <c r="J98" s="86"/>
    </row>
    <row r="99" spans="1:10" x14ac:dyDescent="0.2">
      <c r="A99" t="s">
        <v>97</v>
      </c>
      <c r="H99" s="86">
        <v>121620</v>
      </c>
      <c r="I99" s="87">
        <v>136468</v>
      </c>
      <c r="J99" s="86">
        <v>120110</v>
      </c>
    </row>
    <row r="100" spans="1:10" x14ac:dyDescent="0.2">
      <c r="A100" t="s">
        <v>98</v>
      </c>
      <c r="H100" s="86">
        <v>33941</v>
      </c>
      <c r="I100" s="87">
        <v>35571</v>
      </c>
      <c r="J100" s="86">
        <v>31141</v>
      </c>
    </row>
    <row r="101" spans="1:10" x14ac:dyDescent="0.2">
      <c r="A101" s="23" t="s">
        <v>99</v>
      </c>
      <c r="B101" s="23"/>
      <c r="C101" s="23"/>
      <c r="D101" s="23"/>
      <c r="E101" s="23"/>
      <c r="F101" s="23"/>
      <c r="G101" s="23"/>
      <c r="H101" s="23">
        <v>128560</v>
      </c>
      <c r="I101" s="23">
        <v>138246</v>
      </c>
      <c r="J101" s="23">
        <v>118314</v>
      </c>
    </row>
    <row r="102" spans="1:10" x14ac:dyDescent="0.2">
      <c r="A102" t="s">
        <v>100</v>
      </c>
      <c r="H102" s="86"/>
      <c r="I102" s="87"/>
      <c r="J102" s="86"/>
    </row>
    <row r="103" spans="1:10" x14ac:dyDescent="0.2">
      <c r="A103" t="s">
        <v>101</v>
      </c>
      <c r="H103" s="86">
        <v>97794</v>
      </c>
      <c r="I103" s="87">
        <v>105979</v>
      </c>
      <c r="J103" s="86">
        <v>90576</v>
      </c>
    </row>
    <row r="104" spans="1:10" x14ac:dyDescent="0.2">
      <c r="A104" t="s">
        <v>102</v>
      </c>
      <c r="H104" s="86">
        <v>30766</v>
      </c>
      <c r="I104" s="87">
        <v>32267</v>
      </c>
      <c r="J104" s="86">
        <v>27738</v>
      </c>
    </row>
    <row r="105" spans="1:10" x14ac:dyDescent="0.2">
      <c r="A105" s="23" t="s">
        <v>103</v>
      </c>
      <c r="B105" s="23"/>
      <c r="C105" s="23"/>
      <c r="D105" s="23"/>
      <c r="E105" s="23"/>
      <c r="F105" s="23"/>
      <c r="G105" s="23"/>
      <c r="H105" s="23">
        <v>27001</v>
      </c>
      <c r="I105" s="23">
        <v>33793</v>
      </c>
      <c r="J105" s="23">
        <v>32937</v>
      </c>
    </row>
    <row r="106" spans="1:10" x14ac:dyDescent="0.2">
      <c r="A106" t="s">
        <v>104</v>
      </c>
      <c r="H106" s="86">
        <v>19447</v>
      </c>
      <c r="I106" s="87">
        <v>20496</v>
      </c>
      <c r="J106" s="86">
        <v>20157</v>
      </c>
    </row>
    <row r="107" spans="1:10" x14ac:dyDescent="0.2">
      <c r="A107" t="s">
        <v>105</v>
      </c>
      <c r="H107" s="86">
        <v>5016</v>
      </c>
      <c r="I107" s="87">
        <v>4990</v>
      </c>
      <c r="J107" s="86">
        <v>5137</v>
      </c>
    </row>
    <row r="108" spans="1:10" x14ac:dyDescent="0.2">
      <c r="A108" t="s">
        <v>106</v>
      </c>
      <c r="H108" s="86">
        <v>785</v>
      </c>
      <c r="I108" s="87">
        <v>877</v>
      </c>
      <c r="J108" s="86">
        <v>741</v>
      </c>
    </row>
    <row r="109" spans="1:10" x14ac:dyDescent="0.2">
      <c r="A109" t="s">
        <v>107</v>
      </c>
      <c r="H109" s="86">
        <v>4246</v>
      </c>
      <c r="I109" s="87">
        <v>2466</v>
      </c>
      <c r="J109" s="86">
        <v>1162</v>
      </c>
    </row>
    <row r="110" spans="1:10" x14ac:dyDescent="0.2">
      <c r="A110" s="23" t="s">
        <v>108</v>
      </c>
      <c r="B110" s="23"/>
      <c r="C110" s="23"/>
      <c r="D110" s="23"/>
      <c r="E110" s="23"/>
      <c r="F110" s="23"/>
      <c r="G110" s="23"/>
      <c r="H110" s="23">
        <v>5999</v>
      </c>
      <c r="I110" s="23">
        <v>9896</v>
      </c>
      <c r="J110" s="23">
        <v>8064</v>
      </c>
    </row>
    <row r="111" spans="1:10" x14ac:dyDescent="0.2">
      <c r="A111" s="1" t="s">
        <v>109</v>
      </c>
      <c r="H111" s="86">
        <v>885</v>
      </c>
      <c r="I111" s="87">
        <v>158</v>
      </c>
      <c r="J111" s="86">
        <v>110</v>
      </c>
    </row>
    <row r="112" spans="1:10" x14ac:dyDescent="0.2">
      <c r="A112" s="1" t="s">
        <v>110</v>
      </c>
      <c r="H112" s="86">
        <v>846</v>
      </c>
      <c r="I112" s="87">
        <v>1488</v>
      </c>
      <c r="J112" s="86">
        <v>1140</v>
      </c>
    </row>
    <row r="113" spans="1:10" x14ac:dyDescent="0.2">
      <c r="A113" s="23" t="s">
        <v>111</v>
      </c>
      <c r="B113" s="23"/>
      <c r="C113" s="23"/>
      <c r="D113" s="23"/>
      <c r="E113" s="23"/>
      <c r="F113" s="23"/>
      <c r="G113" s="23"/>
      <c r="H113" s="23">
        <v>6038</v>
      </c>
      <c r="I113" s="23">
        <v>8566</v>
      </c>
      <c r="J113" s="23">
        <v>7034</v>
      </c>
    </row>
    <row r="114" spans="1:10" x14ac:dyDescent="0.2">
      <c r="A114" t="s">
        <v>112</v>
      </c>
      <c r="H114" s="86">
        <v>1004</v>
      </c>
      <c r="I114" s="87">
        <v>1814</v>
      </c>
      <c r="J114" s="86">
        <v>1448</v>
      </c>
    </row>
    <row r="115" spans="1:10" x14ac:dyDescent="0.2">
      <c r="A115" s="23" t="s">
        <v>113</v>
      </c>
      <c r="B115" s="23"/>
      <c r="C115" s="23"/>
      <c r="D115" s="23"/>
      <c r="E115" s="23"/>
      <c r="F115" s="23"/>
      <c r="G115" s="23"/>
      <c r="H115" s="23">
        <v>5034</v>
      </c>
      <c r="I115" s="23">
        <v>6752</v>
      </c>
      <c r="J115" s="23">
        <v>5586</v>
      </c>
    </row>
    <row r="116" spans="1:10" x14ac:dyDescent="0.2">
      <c r="A116" s="32" t="s">
        <v>114</v>
      </c>
      <c r="H116" s="86"/>
      <c r="I116" s="87"/>
      <c r="J116" s="86"/>
    </row>
    <row r="117" spans="1:10" x14ac:dyDescent="0.2">
      <c r="A117" t="s">
        <v>115</v>
      </c>
      <c r="H117" s="86">
        <v>5034</v>
      </c>
      <c r="I117" s="87">
        <v>6752</v>
      </c>
      <c r="J117" s="86">
        <v>5586</v>
      </c>
    </row>
    <row r="118" spans="1:10" x14ac:dyDescent="0.2">
      <c r="A118" t="s">
        <v>116</v>
      </c>
      <c r="H118" s="86">
        <v>0</v>
      </c>
      <c r="I118" s="87">
        <v>0</v>
      </c>
      <c r="J118" s="86">
        <v>0</v>
      </c>
    </row>
    <row r="119" spans="1:10" x14ac:dyDescent="0.2">
      <c r="A119" t="s">
        <v>117</v>
      </c>
      <c r="H119" s="86">
        <v>0.54</v>
      </c>
      <c r="I119" s="87">
        <v>0.73</v>
      </c>
      <c r="J119" s="86">
        <v>0.6</v>
      </c>
    </row>
    <row r="120" spans="1:10" x14ac:dyDescent="0.2">
      <c r="A120" t="s">
        <v>118</v>
      </c>
      <c r="H120" s="86">
        <v>0.54</v>
      </c>
      <c r="I120" s="87">
        <v>0.73</v>
      </c>
      <c r="J120" s="86">
        <v>0.6</v>
      </c>
    </row>
    <row r="121" spans="1:10" x14ac:dyDescent="0.2">
      <c r="A121" t="s">
        <v>119</v>
      </c>
      <c r="H121" s="86">
        <v>0</v>
      </c>
      <c r="I121" s="87">
        <v>0</v>
      </c>
      <c r="J121" s="86">
        <v>0</v>
      </c>
    </row>
    <row r="122" spans="1:10" x14ac:dyDescent="0.2">
      <c r="A122" s="23" t="s">
        <v>120</v>
      </c>
      <c r="B122" s="23"/>
      <c r="C122" s="23"/>
      <c r="D122" s="23"/>
      <c r="E122" s="23"/>
      <c r="F122" s="23"/>
      <c r="G122" s="23"/>
      <c r="H122" s="23">
        <v>5034</v>
      </c>
      <c r="I122" s="23">
        <v>6752</v>
      </c>
      <c r="J122" s="23">
        <v>5586</v>
      </c>
    </row>
    <row r="123" spans="1:10" x14ac:dyDescent="0.2">
      <c r="A123" t="s">
        <v>115</v>
      </c>
      <c r="H123" s="86">
        <v>5034</v>
      </c>
      <c r="I123" s="87">
        <v>6752</v>
      </c>
      <c r="J123" s="86">
        <v>5586</v>
      </c>
    </row>
    <row r="124" spans="1:10" x14ac:dyDescent="0.2">
      <c r="A124" t="s">
        <v>116</v>
      </c>
      <c r="H124" s="86">
        <v>0</v>
      </c>
      <c r="I124" s="87">
        <v>0</v>
      </c>
      <c r="J124" s="86">
        <v>0</v>
      </c>
    </row>
    <row r="125" spans="1:10" x14ac:dyDescent="0.2">
      <c r="H125" s="2"/>
      <c r="I125" s="2"/>
      <c r="J125" s="2"/>
    </row>
    <row r="126" spans="1:10" x14ac:dyDescent="0.2">
      <c r="H126" s="4">
        <v>2021</v>
      </c>
      <c r="I126" s="4">
        <v>2020</v>
      </c>
      <c r="J126" s="4">
        <v>2019</v>
      </c>
    </row>
    <row r="127" spans="1:10" x14ac:dyDescent="0.2">
      <c r="A127" t="s">
        <v>121</v>
      </c>
      <c r="H127" s="88">
        <v>9348098</v>
      </c>
      <c r="I127" s="59">
        <v>9250071</v>
      </c>
      <c r="J127" s="88">
        <v>9250071</v>
      </c>
    </row>
    <row r="128" spans="1:10" x14ac:dyDescent="0.2">
      <c r="A128" t="s">
        <v>122</v>
      </c>
      <c r="H128" s="86">
        <v>0.54</v>
      </c>
      <c r="I128" s="87">
        <v>0.73</v>
      </c>
      <c r="J128" s="86">
        <v>0.6</v>
      </c>
    </row>
    <row r="129" spans="1:10" x14ac:dyDescent="0.2">
      <c r="A129" t="s">
        <v>123</v>
      </c>
      <c r="H129" s="86">
        <v>0.54</v>
      </c>
      <c r="I129" s="87">
        <v>0.73</v>
      </c>
      <c r="J129" s="86">
        <v>0.6</v>
      </c>
    </row>
    <row r="131" spans="1:10" x14ac:dyDescent="0.2">
      <c r="H131" s="22"/>
      <c r="I131" s="22"/>
      <c r="J131" s="22"/>
    </row>
    <row r="132" spans="1:10" x14ac:dyDescent="0.2">
      <c r="H132" s="22"/>
      <c r="I132" s="22"/>
      <c r="J132" s="22"/>
    </row>
    <row r="133" spans="1:10" x14ac:dyDescent="0.2">
      <c r="H133" s="22"/>
      <c r="I133" s="22"/>
      <c r="J133" s="22"/>
    </row>
    <row r="134" spans="1:10" x14ac:dyDescent="0.2">
      <c r="H134" s="31"/>
      <c r="I134" s="22"/>
      <c r="J134" s="22"/>
    </row>
  </sheetData>
  <mergeCells count="8">
    <mergeCell ref="A92:G92"/>
    <mergeCell ref="A93:G93"/>
    <mergeCell ref="M2:AB2"/>
    <mergeCell ref="A1:J1"/>
    <mergeCell ref="A90:G90"/>
    <mergeCell ref="A91:G91"/>
    <mergeCell ref="M4:AB25"/>
    <mergeCell ref="M26:AB3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3ECBD-4F23-439C-BA67-C08C18A548DB}">
  <dimension ref="A1:Y34"/>
  <sheetViews>
    <sheetView topLeftCell="K3" zoomScale="120" zoomScaleNormal="120" workbookViewId="0">
      <selection activeCell="T4" sqref="T4:Y14"/>
    </sheetView>
  </sheetViews>
  <sheetFormatPr baseColWidth="10" defaultColWidth="8.6640625" defaultRowHeight="15" x14ac:dyDescent="0.2"/>
  <cols>
    <col min="6" max="6" width="15.5" customWidth="1"/>
    <col min="7" max="7" width="14" bestFit="1" customWidth="1"/>
    <col min="8" max="8" width="14.1640625" bestFit="1" customWidth="1"/>
    <col min="10" max="10" width="19.33203125" customWidth="1"/>
    <col min="11" max="11" width="11.5" bestFit="1" customWidth="1"/>
    <col min="13" max="13" width="10.83203125" bestFit="1" customWidth="1"/>
    <col min="14" max="14" width="11.5" bestFit="1" customWidth="1"/>
    <col min="15" max="15" width="8.5" customWidth="1"/>
    <col min="16" max="16" width="11.5" bestFit="1" customWidth="1"/>
    <col min="17" max="18" width="8.6640625" customWidth="1"/>
  </cols>
  <sheetData>
    <row r="1" spans="1:25" x14ac:dyDescent="0.2">
      <c r="A1" s="112" t="s">
        <v>124</v>
      </c>
      <c r="B1" s="112"/>
    </row>
    <row r="2" spans="1:25" ht="15.5" customHeight="1" x14ac:dyDescent="0.2">
      <c r="J2" s="118" t="s">
        <v>125</v>
      </c>
      <c r="K2" s="118"/>
      <c r="L2" s="118"/>
      <c r="M2" s="12"/>
      <c r="P2" s="117" t="s">
        <v>126</v>
      </c>
      <c r="Q2" s="117"/>
      <c r="R2" s="117"/>
    </row>
    <row r="3" spans="1:25" x14ac:dyDescent="0.2">
      <c r="A3" s="115" t="s">
        <v>9</v>
      </c>
      <c r="B3" s="115"/>
      <c r="C3" s="115"/>
      <c r="D3" s="115"/>
      <c r="E3" s="115"/>
      <c r="F3" s="14">
        <v>2021</v>
      </c>
      <c r="G3" s="14">
        <v>2020</v>
      </c>
      <c r="H3" s="14">
        <v>2019</v>
      </c>
      <c r="I3" s="14"/>
      <c r="J3" s="28" t="s">
        <v>127</v>
      </c>
      <c r="K3" s="15" t="s">
        <v>128</v>
      </c>
      <c r="L3" s="15"/>
      <c r="M3" s="14" t="s">
        <v>129</v>
      </c>
      <c r="N3" s="15" t="s">
        <v>128</v>
      </c>
      <c r="O3" s="15"/>
      <c r="P3" s="14">
        <v>2021</v>
      </c>
      <c r="Q3" s="14">
        <v>2020</v>
      </c>
      <c r="R3" s="14">
        <v>2019</v>
      </c>
    </row>
    <row r="4" spans="1:25" s="13" customFormat="1" ht="14.75" customHeight="1" x14ac:dyDescent="0.2">
      <c r="A4" s="116" t="s">
        <v>10</v>
      </c>
      <c r="B4" s="116"/>
      <c r="C4" s="116"/>
      <c r="D4" s="116"/>
      <c r="E4" s="116"/>
      <c r="F4" s="17">
        <v>118828</v>
      </c>
      <c r="G4" s="17">
        <v>116891</v>
      </c>
      <c r="H4" s="17">
        <v>113267</v>
      </c>
      <c r="I4" s="16"/>
      <c r="J4" s="18">
        <f>F4/G4</f>
        <v>1.0165709934896614</v>
      </c>
      <c r="K4" s="18">
        <f>(F4-G4)/G4</f>
        <v>1.6570993489661307E-2</v>
      </c>
      <c r="L4" s="16"/>
      <c r="M4" s="18">
        <f>G4/H4</f>
        <v>1.0319951971889429</v>
      </c>
      <c r="N4" s="18">
        <f>(G4-H4)/H4</f>
        <v>3.1995197188942941E-2</v>
      </c>
      <c r="O4" s="16"/>
      <c r="P4" s="19">
        <f>F4/F23</f>
        <v>0.65069517076723415</v>
      </c>
      <c r="Q4" s="19">
        <f t="shared" ref="Q4:R4" si="0">G4/G23</f>
        <v>0.75008983803485718</v>
      </c>
      <c r="R4" s="19">
        <f t="shared" si="0"/>
        <v>0.74659222737819031</v>
      </c>
      <c r="T4" s="114" t="s">
        <v>317</v>
      </c>
      <c r="U4" s="114"/>
      <c r="V4" s="114"/>
      <c r="W4" s="114"/>
      <c r="X4" s="114"/>
      <c r="Y4" s="114"/>
    </row>
    <row r="5" spans="1:25" ht="14.75" customHeight="1" x14ac:dyDescent="0.2">
      <c r="A5" s="109" t="s">
        <v>11</v>
      </c>
      <c r="B5" s="109"/>
      <c r="C5" s="109"/>
      <c r="D5" s="109"/>
      <c r="E5" s="109"/>
      <c r="F5" s="2">
        <v>79465</v>
      </c>
      <c r="G5" s="2">
        <v>78249</v>
      </c>
      <c r="H5" s="2">
        <v>73444</v>
      </c>
      <c r="J5" s="3">
        <f t="shared" ref="J5:J21" si="1">F5/G5</f>
        <v>1.0155401346982069</v>
      </c>
      <c r="K5" s="3">
        <f>(F5-G5)/G5</f>
        <v>1.5540134698207007E-2</v>
      </c>
      <c r="M5" s="3">
        <f>G5/H5</f>
        <v>1.065423996514351</v>
      </c>
      <c r="N5" s="3">
        <f>(G5-H5)/H5</f>
        <v>6.5423996514351074E-2</v>
      </c>
      <c r="P5" s="10">
        <f>F5/$F$23</f>
        <v>0.43514568742231008</v>
      </c>
      <c r="Q5" s="10">
        <f>G5/$G$23</f>
        <v>0.5021240278241228</v>
      </c>
      <c r="R5" s="10">
        <f>H5/$H$23</f>
        <v>0.48410145538915839</v>
      </c>
      <c r="T5" s="114"/>
      <c r="U5" s="114"/>
      <c r="V5" s="114"/>
      <c r="W5" s="114"/>
      <c r="X5" s="114"/>
      <c r="Y5" s="114"/>
    </row>
    <row r="6" spans="1:25" ht="14.75" customHeight="1" x14ac:dyDescent="0.2">
      <c r="A6" s="109" t="s">
        <v>12</v>
      </c>
      <c r="B6" s="109"/>
      <c r="C6" s="109"/>
      <c r="D6" s="109"/>
      <c r="E6" s="109"/>
      <c r="F6" s="2">
        <v>3291</v>
      </c>
      <c r="G6" s="2">
        <v>2524</v>
      </c>
      <c r="H6" s="2">
        <v>4091</v>
      </c>
      <c r="J6" s="3">
        <f t="shared" si="1"/>
        <v>1.3038827258320127</v>
      </c>
      <c r="K6" s="3">
        <f>(F6-G6)/G6</f>
        <v>0.3038827258320127</v>
      </c>
      <c r="M6" s="3">
        <f>G6/H6</f>
        <v>0.61696406746516741</v>
      </c>
      <c r="N6" s="3">
        <f>(G6-H6)/H6</f>
        <v>-0.38303593253483254</v>
      </c>
      <c r="P6" s="10">
        <f>F6/$F$23</f>
        <v>1.8021323316011105E-2</v>
      </c>
      <c r="Q6" s="10">
        <f>G6/$G$23</f>
        <v>1.6196514284247541E-2</v>
      </c>
      <c r="R6" s="10">
        <f>H6/$H$23</f>
        <v>2.6965566336215989E-2</v>
      </c>
      <c r="T6" s="114"/>
      <c r="U6" s="114"/>
      <c r="V6" s="114"/>
      <c r="W6" s="114"/>
      <c r="X6" s="114"/>
      <c r="Y6" s="114"/>
    </row>
    <row r="7" spans="1:25" ht="14.75" customHeight="1" x14ac:dyDescent="0.2">
      <c r="A7" s="109" t="s">
        <v>13</v>
      </c>
      <c r="B7" s="109"/>
      <c r="C7" s="109"/>
      <c r="D7" s="109"/>
      <c r="E7" s="109"/>
      <c r="F7" s="2">
        <v>603</v>
      </c>
      <c r="G7" s="2">
        <v>603</v>
      </c>
      <c r="H7" s="2">
        <v>603</v>
      </c>
      <c r="J7" s="3">
        <f t="shared" si="1"/>
        <v>1</v>
      </c>
      <c r="K7" s="3">
        <f>(F7-G7)/G7</f>
        <v>0</v>
      </c>
      <c r="M7" s="3">
        <f>G7/H7</f>
        <v>1</v>
      </c>
      <c r="N7" s="3">
        <f>(G7-H7)/H7</f>
        <v>0</v>
      </c>
      <c r="P7" s="10">
        <f>F7/$F$23</f>
        <v>3.3019926950941039E-3</v>
      </c>
      <c r="Q7" s="10">
        <f>G7/$G$23</f>
        <v>3.8694525013475705E-3</v>
      </c>
      <c r="R7" s="10">
        <f>H7/$H$23</f>
        <v>3.9746361527103983E-3</v>
      </c>
      <c r="T7" s="114"/>
      <c r="U7" s="114"/>
      <c r="V7" s="114"/>
      <c r="W7" s="114"/>
      <c r="X7" s="114"/>
      <c r="Y7" s="114"/>
    </row>
    <row r="8" spans="1:25" ht="14.75" customHeight="1" x14ac:dyDescent="0.2">
      <c r="A8" s="109" t="s">
        <v>14</v>
      </c>
      <c r="B8" s="109"/>
      <c r="C8" s="109"/>
      <c r="D8" s="109"/>
      <c r="E8" s="109"/>
      <c r="F8" s="2">
        <v>0</v>
      </c>
      <c r="G8" s="2">
        <v>0</v>
      </c>
      <c r="H8" s="2">
        <v>0</v>
      </c>
      <c r="J8" s="3"/>
      <c r="K8" s="3"/>
      <c r="M8" s="3"/>
      <c r="N8" s="3"/>
      <c r="P8" s="10"/>
      <c r="Q8" s="10"/>
      <c r="R8" s="10"/>
      <c r="T8" s="114"/>
      <c r="U8" s="114"/>
      <c r="V8" s="114"/>
      <c r="W8" s="114"/>
      <c r="X8" s="114"/>
      <c r="Y8" s="114"/>
    </row>
    <row r="9" spans="1:25" ht="14.75" customHeight="1" x14ac:dyDescent="0.2">
      <c r="A9" s="109" t="s">
        <v>15</v>
      </c>
      <c r="B9" s="109"/>
      <c r="C9" s="109"/>
      <c r="D9" s="109"/>
      <c r="E9" s="109"/>
      <c r="F9" s="2">
        <v>5325</v>
      </c>
      <c r="G9" s="2">
        <v>5390</v>
      </c>
      <c r="H9" s="2">
        <v>4944</v>
      </c>
      <c r="J9" s="3">
        <f t="shared" si="1"/>
        <v>0.98794063079777361</v>
      </c>
      <c r="K9" s="3">
        <f>(F9-G9)/G9</f>
        <v>-1.2059369202226345E-2</v>
      </c>
      <c r="M9" s="3">
        <f>G9/H9</f>
        <v>1.0902103559870551</v>
      </c>
      <c r="N9" s="3">
        <f>(G9-H9)/H9</f>
        <v>9.0210355987055013E-2</v>
      </c>
      <c r="P9" s="10">
        <f>F9/$F$23</f>
        <v>2.9159388227821069E-2</v>
      </c>
      <c r="Q9" s="10">
        <f>G9/$G$23</f>
        <v>3.458764342000565E-2</v>
      </c>
      <c r="R9" s="10">
        <f>H9/$H$23</f>
        <v>3.2588061590381773E-2</v>
      </c>
      <c r="T9" s="114"/>
      <c r="U9" s="114"/>
      <c r="V9" s="114"/>
      <c r="W9" s="114"/>
      <c r="X9" s="114"/>
      <c r="Y9" s="114"/>
    </row>
    <row r="10" spans="1:25" ht="14.75" customHeight="1" x14ac:dyDescent="0.2">
      <c r="A10" s="109" t="s">
        <v>16</v>
      </c>
      <c r="B10" s="109"/>
      <c r="C10" s="109"/>
      <c r="D10" s="109"/>
      <c r="E10" s="109"/>
      <c r="F10" s="2">
        <v>30080</v>
      </c>
      <c r="G10" s="2">
        <v>30080</v>
      </c>
      <c r="H10" s="2">
        <v>30080</v>
      </c>
      <c r="J10" s="3">
        <f t="shared" si="1"/>
        <v>1</v>
      </c>
      <c r="K10" s="3">
        <f>(F10-G10)/G10</f>
        <v>0</v>
      </c>
      <c r="M10" s="3">
        <f>G10/H10</f>
        <v>1</v>
      </c>
      <c r="N10" s="3">
        <f>(G10-H10)/H10</f>
        <v>0</v>
      </c>
      <c r="P10" s="10">
        <f>F10/$F$23</f>
        <v>0.16471631885311883</v>
      </c>
      <c r="Q10" s="10">
        <f>G10/$G$23</f>
        <v>0.19302343489309273</v>
      </c>
      <c r="R10" s="10">
        <f>H10/$H$23</f>
        <v>0.19827040708711241</v>
      </c>
      <c r="T10" s="114"/>
      <c r="U10" s="114"/>
      <c r="V10" s="114"/>
      <c r="W10" s="114"/>
      <c r="X10" s="114"/>
      <c r="Y10" s="114"/>
    </row>
    <row r="11" spans="1:25" ht="14.75" customHeight="1" x14ac:dyDescent="0.2">
      <c r="A11" s="109" t="s">
        <v>17</v>
      </c>
      <c r="B11" s="109"/>
      <c r="C11" s="109"/>
      <c r="D11" s="109"/>
      <c r="E11" s="109"/>
      <c r="F11" s="2">
        <v>30080</v>
      </c>
      <c r="G11" s="2">
        <v>30080</v>
      </c>
      <c r="H11" s="2">
        <v>30080</v>
      </c>
      <c r="J11" s="3">
        <f t="shared" si="1"/>
        <v>1</v>
      </c>
      <c r="K11" s="3">
        <f>(F11-G11)/G11</f>
        <v>0</v>
      </c>
      <c r="M11" s="3">
        <f>G11/H11</f>
        <v>1</v>
      </c>
      <c r="N11" s="3">
        <f>(G11-H11)/H11</f>
        <v>0</v>
      </c>
      <c r="P11" s="10">
        <f>F11/$F$23</f>
        <v>0.16471631885311883</v>
      </c>
      <c r="Q11" s="10">
        <f>G11/$G$23</f>
        <v>0.19302343489309273</v>
      </c>
      <c r="R11" s="10">
        <f>H11/$H$23</f>
        <v>0.19827040708711241</v>
      </c>
      <c r="T11" s="114"/>
      <c r="U11" s="114"/>
      <c r="V11" s="114"/>
      <c r="W11" s="114"/>
      <c r="X11" s="114"/>
      <c r="Y11" s="114"/>
    </row>
    <row r="12" spans="1:25" ht="14.75" customHeight="1" x14ac:dyDescent="0.2">
      <c r="A12" s="109" t="s">
        <v>18</v>
      </c>
      <c r="B12" s="109"/>
      <c r="C12" s="109"/>
      <c r="D12" s="109"/>
      <c r="E12" s="109"/>
      <c r="F12" s="2">
        <v>0</v>
      </c>
      <c r="G12" s="2">
        <v>0</v>
      </c>
      <c r="H12" s="2">
        <v>0</v>
      </c>
      <c r="J12" s="3"/>
      <c r="K12" s="3"/>
      <c r="M12" s="3"/>
      <c r="N12" s="3"/>
      <c r="P12" s="10"/>
      <c r="Q12" s="10"/>
      <c r="R12" s="10"/>
      <c r="T12" s="114"/>
      <c r="U12" s="114"/>
      <c r="V12" s="114"/>
      <c r="W12" s="114"/>
      <c r="X12" s="114"/>
      <c r="Y12" s="114"/>
    </row>
    <row r="13" spans="1:25" ht="14.75" customHeight="1" x14ac:dyDescent="0.2">
      <c r="A13" s="109" t="s">
        <v>19</v>
      </c>
      <c r="B13" s="109"/>
      <c r="C13" s="109"/>
      <c r="D13" s="109"/>
      <c r="E13" s="109"/>
      <c r="F13" s="2">
        <v>0</v>
      </c>
      <c r="G13" s="2">
        <v>0</v>
      </c>
      <c r="H13" s="2">
        <v>0</v>
      </c>
      <c r="J13" s="3"/>
      <c r="K13" s="3"/>
      <c r="M13" s="3"/>
      <c r="N13" s="3"/>
      <c r="P13" s="10"/>
      <c r="Q13" s="10"/>
      <c r="R13" s="10"/>
      <c r="T13" s="114"/>
      <c r="U13" s="114"/>
      <c r="V13" s="114"/>
      <c r="W13" s="114"/>
      <c r="X13" s="114"/>
      <c r="Y13" s="114"/>
    </row>
    <row r="14" spans="1:25" ht="14.75" customHeight="1" x14ac:dyDescent="0.2">
      <c r="A14" s="109" t="s">
        <v>20</v>
      </c>
      <c r="B14" s="109"/>
      <c r="C14" s="109"/>
      <c r="D14" s="109"/>
      <c r="E14" s="109"/>
      <c r="F14" s="2">
        <v>64</v>
      </c>
      <c r="G14" s="2">
        <v>45</v>
      </c>
      <c r="H14" s="2">
        <v>105</v>
      </c>
      <c r="J14" s="3">
        <f t="shared" si="1"/>
        <v>1.4222222222222223</v>
      </c>
      <c r="K14" s="3">
        <f>(F14-G14)/G14</f>
        <v>0.42222222222222222</v>
      </c>
      <c r="M14" s="3">
        <f>G14/H14</f>
        <v>0.42857142857142855</v>
      </c>
      <c r="N14" s="3">
        <f>(G14-H14)/H14</f>
        <v>-0.5714285714285714</v>
      </c>
      <c r="P14" s="10">
        <f t="shared" ref="P14:P21" si="2">F14/$F$23</f>
        <v>3.504602528789762E-4</v>
      </c>
      <c r="Q14" s="10">
        <f>G14/$G$23</f>
        <v>2.8876511204086348E-4</v>
      </c>
      <c r="R14" s="10">
        <f>H14/$H$23</f>
        <v>6.9210082261126347E-4</v>
      </c>
      <c r="T14" s="114"/>
      <c r="U14" s="114"/>
      <c r="V14" s="114"/>
      <c r="W14" s="114"/>
      <c r="X14" s="114"/>
      <c r="Y14" s="114"/>
    </row>
    <row r="15" spans="1:25" s="13" customFormat="1" x14ac:dyDescent="0.2">
      <c r="A15" s="116" t="s">
        <v>21</v>
      </c>
      <c r="B15" s="116"/>
      <c r="C15" s="116"/>
      <c r="D15" s="116"/>
      <c r="E15" s="116"/>
      <c r="F15" s="17">
        <v>63789</v>
      </c>
      <c r="G15" s="17">
        <v>38945</v>
      </c>
      <c r="H15" s="17">
        <v>38445</v>
      </c>
      <c r="I15" s="16"/>
      <c r="J15" s="18">
        <f t="shared" si="1"/>
        <v>1.6379252792399537</v>
      </c>
      <c r="K15" s="18">
        <f>(F15-G15)/G15</f>
        <v>0.63792527923995379</v>
      </c>
      <c r="L15" s="16"/>
      <c r="M15" s="18">
        <f>G15/H15</f>
        <v>1.0130055924047341</v>
      </c>
      <c r="N15" s="18">
        <f>(G15-H15)/H15</f>
        <v>1.3005592404734036E-2</v>
      </c>
      <c r="O15" s="16"/>
      <c r="P15" s="19">
        <f t="shared" si="2"/>
        <v>0.34930482923276585</v>
      </c>
      <c r="Q15" s="19">
        <f>G15/$G$23</f>
        <v>0.24991016196514285</v>
      </c>
      <c r="R15" s="19">
        <f>H15/$H$23</f>
        <v>0.25340777262180975</v>
      </c>
    </row>
    <row r="16" spans="1:25" ht="14.75" customHeight="1" x14ac:dyDescent="0.2">
      <c r="A16" s="109" t="s">
        <v>22</v>
      </c>
      <c r="B16" s="109"/>
      <c r="C16" s="109"/>
      <c r="D16" s="109"/>
      <c r="E16" s="109"/>
      <c r="F16" s="2">
        <v>13408</v>
      </c>
      <c r="G16" s="2">
        <v>15046</v>
      </c>
      <c r="H16" s="2">
        <v>10655</v>
      </c>
      <c r="J16" s="3">
        <f t="shared" si="1"/>
        <v>0.89113385617439855</v>
      </c>
      <c r="K16" s="3">
        <f>(F16-G16)/G16</f>
        <v>-0.10886614382560149</v>
      </c>
      <c r="M16" s="3">
        <f>G16/H16</f>
        <v>1.4121069920225247</v>
      </c>
      <c r="N16" s="3">
        <f>(G16-H16)/H16</f>
        <v>0.41210699202252465</v>
      </c>
      <c r="P16" s="10">
        <f>F16/$F$23</f>
        <v>7.3421422978145523E-2</v>
      </c>
      <c r="Q16" s="10">
        <f>G16/$G$23</f>
        <v>9.6550219461485148E-2</v>
      </c>
      <c r="R16" s="10">
        <f>H16/$H$23</f>
        <v>7.0231754904028693E-2</v>
      </c>
      <c r="T16" s="114" t="s">
        <v>130</v>
      </c>
      <c r="U16" s="114"/>
      <c r="V16" s="114"/>
      <c r="W16" s="114"/>
      <c r="X16" s="114"/>
      <c r="Y16" s="114"/>
    </row>
    <row r="17" spans="1:25" ht="14.75" customHeight="1" x14ac:dyDescent="0.2">
      <c r="A17" s="109" t="s">
        <v>23</v>
      </c>
      <c r="B17" s="109"/>
      <c r="C17" s="109"/>
      <c r="D17" s="109"/>
      <c r="E17" s="109"/>
      <c r="F17" s="2">
        <v>21446</v>
      </c>
      <c r="G17" s="2">
        <v>21273</v>
      </c>
      <c r="H17" s="2">
        <v>24825</v>
      </c>
      <c r="J17" s="3">
        <f t="shared" si="1"/>
        <v>1.0081323743712687</v>
      </c>
      <c r="K17" s="3">
        <f>(F17-G17)/G17</f>
        <v>8.1323743712687444E-3</v>
      </c>
      <c r="M17" s="3">
        <f>G17/H17</f>
        <v>0.85691842900302118</v>
      </c>
      <c r="N17" s="3">
        <f>(G17-H17)/H17</f>
        <v>-0.14308157099697885</v>
      </c>
      <c r="P17" s="10">
        <f t="shared" si="2"/>
        <v>0.11743704036316444</v>
      </c>
      <c r="Q17" s="10">
        <f>G17/$G$23</f>
        <v>0.13650889396545085</v>
      </c>
      <c r="R17" s="10">
        <f>H17/$H$23</f>
        <v>0.16363240877452015</v>
      </c>
      <c r="T17" s="114"/>
      <c r="U17" s="114"/>
      <c r="V17" s="114"/>
      <c r="W17" s="114"/>
      <c r="X17" s="114"/>
      <c r="Y17" s="114"/>
    </row>
    <row r="18" spans="1:25" ht="14.75" customHeight="1" x14ac:dyDescent="0.2">
      <c r="A18" s="109" t="s">
        <v>24</v>
      </c>
      <c r="B18" s="109"/>
      <c r="C18" s="109"/>
      <c r="D18" s="109"/>
      <c r="E18" s="109"/>
      <c r="F18" s="2">
        <v>554</v>
      </c>
      <c r="G18" s="2">
        <v>0</v>
      </c>
      <c r="H18" s="2">
        <v>0</v>
      </c>
      <c r="J18" s="3"/>
      <c r="K18" s="3"/>
      <c r="M18" s="3"/>
      <c r="N18" s="3"/>
      <c r="P18" s="10">
        <f t="shared" si="2"/>
        <v>3.0336715639836379E-3</v>
      </c>
      <c r="Q18" s="10"/>
      <c r="R18" s="10"/>
      <c r="T18" s="114"/>
      <c r="U18" s="114"/>
      <c r="V18" s="114"/>
      <c r="W18" s="114"/>
      <c r="X18" s="114"/>
      <c r="Y18" s="114"/>
    </row>
    <row r="19" spans="1:25" ht="14.75" customHeight="1" x14ac:dyDescent="0.2">
      <c r="A19" s="109" t="s">
        <v>18</v>
      </c>
      <c r="B19" s="109"/>
      <c r="C19" s="109"/>
      <c r="D19" s="109"/>
      <c r="E19" s="109"/>
      <c r="F19" s="2">
        <v>2003</v>
      </c>
      <c r="G19" s="2">
        <v>2006</v>
      </c>
      <c r="H19" s="2">
        <v>2006</v>
      </c>
      <c r="J19" s="3">
        <f t="shared" si="1"/>
        <v>0.99850448654037882</v>
      </c>
      <c r="K19" s="3">
        <f>(F19-G19)/G19</f>
        <v>-1.4955134596211367E-3</v>
      </c>
      <c r="M19" s="3">
        <f>G19/H19</f>
        <v>1</v>
      </c>
      <c r="N19" s="3">
        <f>(G19-H19)/H19</f>
        <v>0</v>
      </c>
      <c r="P19" s="10">
        <f t="shared" si="2"/>
        <v>1.0968310726821709E-2</v>
      </c>
      <c r="Q19" s="10">
        <f>G19/$G$23</f>
        <v>1.2872506994532714E-2</v>
      </c>
      <c r="R19" s="10">
        <f>H19/$H$23</f>
        <v>1.3222421430078042E-2</v>
      </c>
      <c r="T19" s="114"/>
      <c r="U19" s="114"/>
      <c r="V19" s="114"/>
      <c r="W19" s="114"/>
      <c r="X19" s="114"/>
      <c r="Y19" s="114"/>
    </row>
    <row r="20" spans="1:25" ht="14.75" customHeight="1" x14ac:dyDescent="0.2">
      <c r="A20" s="109" t="s">
        <v>25</v>
      </c>
      <c r="B20" s="109"/>
      <c r="C20" s="109"/>
      <c r="D20" s="109"/>
      <c r="E20" s="109"/>
      <c r="F20" s="2">
        <v>26121</v>
      </c>
      <c r="G20" s="2">
        <v>374</v>
      </c>
      <c r="H20" s="2">
        <v>701</v>
      </c>
      <c r="J20" s="3">
        <f t="shared" si="1"/>
        <v>69.842245989304814</v>
      </c>
      <c r="K20" s="3">
        <f>(F20-G20)/G20</f>
        <v>68.842245989304814</v>
      </c>
      <c r="M20" s="3">
        <f>G20/H20</f>
        <v>0.53352353780313833</v>
      </c>
      <c r="N20" s="3">
        <f>(G20-H20)/H20</f>
        <v>-0.46647646219686162</v>
      </c>
      <c r="P20" s="10">
        <f t="shared" si="2"/>
        <v>0.1430370666476834</v>
      </c>
      <c r="Q20" s="10">
        <f>G20/$G$23</f>
        <v>2.3999589311840654E-3</v>
      </c>
      <c r="R20" s="10">
        <f>H20/$H$23</f>
        <v>4.6205969204809114E-3</v>
      </c>
      <c r="T20" s="114"/>
      <c r="U20" s="114"/>
      <c r="V20" s="114"/>
      <c r="W20" s="114"/>
      <c r="X20" s="114"/>
      <c r="Y20" s="114"/>
    </row>
    <row r="21" spans="1:25" ht="14.75" customHeight="1" x14ac:dyDescent="0.2">
      <c r="A21" s="109" t="s">
        <v>26</v>
      </c>
      <c r="B21" s="109"/>
      <c r="C21" s="109"/>
      <c r="D21" s="109"/>
      <c r="E21" s="109"/>
      <c r="F21" s="2">
        <v>257</v>
      </c>
      <c r="G21" s="2">
        <v>246</v>
      </c>
      <c r="H21" s="2">
        <v>258</v>
      </c>
      <c r="J21" s="3">
        <f t="shared" si="1"/>
        <v>1.0447154471544715</v>
      </c>
      <c r="K21" s="3">
        <f>(F21-G21)/G21</f>
        <v>4.4715447154471545E-2</v>
      </c>
      <c r="M21" s="3">
        <f>G21/H21</f>
        <v>0.95348837209302328</v>
      </c>
      <c r="N21" s="3">
        <f>(G21-H21)/H21</f>
        <v>-4.6511627906976744E-2</v>
      </c>
      <c r="P21" s="10">
        <f t="shared" si="2"/>
        <v>1.4073169529671388E-3</v>
      </c>
      <c r="Q21" s="10">
        <f>G21/$G$23</f>
        <v>1.5785826124900537E-3</v>
      </c>
      <c r="R21" s="10">
        <f>H21/$H$23</f>
        <v>1.7005905927019616E-3</v>
      </c>
      <c r="T21" s="114"/>
      <c r="U21" s="114"/>
      <c r="V21" s="114"/>
      <c r="W21" s="114"/>
      <c r="X21" s="114"/>
      <c r="Y21" s="114"/>
    </row>
    <row r="22" spans="1:25" ht="14.75" customHeight="1" x14ac:dyDescent="0.2">
      <c r="A22" s="109" t="s">
        <v>27</v>
      </c>
      <c r="B22" s="109"/>
      <c r="C22" s="109"/>
      <c r="D22" s="109"/>
      <c r="E22" s="109"/>
      <c r="F22" s="2">
        <v>0</v>
      </c>
      <c r="G22" s="2">
        <v>0</v>
      </c>
      <c r="H22" s="2">
        <v>0</v>
      </c>
      <c r="J22" s="3"/>
      <c r="K22" s="3"/>
      <c r="M22" s="3"/>
      <c r="N22" s="3"/>
      <c r="P22" s="11"/>
      <c r="Q22" s="11"/>
      <c r="R22" s="11"/>
      <c r="T22" s="114"/>
      <c r="U22" s="114"/>
      <c r="V22" s="114"/>
      <c r="W22" s="114"/>
      <c r="X22" s="114"/>
      <c r="Y22" s="114"/>
    </row>
    <row r="23" spans="1:25" s="13" customFormat="1" x14ac:dyDescent="0.2">
      <c r="A23" s="115" t="s">
        <v>28</v>
      </c>
      <c r="B23" s="115"/>
      <c r="C23" s="115"/>
      <c r="D23" s="115"/>
      <c r="E23" s="115"/>
      <c r="F23" s="20">
        <v>182617</v>
      </c>
      <c r="G23" s="20">
        <v>155836</v>
      </c>
      <c r="H23" s="20">
        <v>151712</v>
      </c>
      <c r="I23" s="14"/>
      <c r="J23" s="21">
        <f>F23/G23</f>
        <v>1.1718537436792527</v>
      </c>
      <c r="K23" s="21">
        <f>(F23-G23)/G23</f>
        <v>0.17185374367925255</v>
      </c>
      <c r="L23" s="14"/>
      <c r="M23" s="21">
        <f>G23/H23</f>
        <v>1.0271830837376081</v>
      </c>
      <c r="N23" s="21">
        <f>(G23-H23)/H23</f>
        <v>2.71830837376081E-2</v>
      </c>
      <c r="O23" s="14"/>
      <c r="P23" s="14">
        <f>F23/F23</f>
        <v>1</v>
      </c>
      <c r="Q23" s="14">
        <f>G23/G23</f>
        <v>1</v>
      </c>
      <c r="R23" s="14">
        <f>H23/H23</f>
        <v>1</v>
      </c>
    </row>
    <row r="26" spans="1:25" ht="15" customHeight="1" x14ac:dyDescent="0.2">
      <c r="F26" s="29">
        <v>2021</v>
      </c>
      <c r="G26" s="29">
        <v>2020</v>
      </c>
      <c r="H26" s="29">
        <v>2019</v>
      </c>
      <c r="J26" s="114" t="s">
        <v>316</v>
      </c>
      <c r="K26" s="114"/>
      <c r="L26" s="114"/>
      <c r="M26" s="114"/>
      <c r="N26" s="114"/>
      <c r="O26" s="114"/>
      <c r="P26" s="114"/>
      <c r="Q26" s="114"/>
      <c r="R26" s="114"/>
    </row>
    <row r="27" spans="1:25" ht="14.75" customHeight="1" x14ac:dyDescent="0.2">
      <c r="B27" s="116" t="s">
        <v>131</v>
      </c>
      <c r="C27" s="116"/>
      <c r="D27" s="116"/>
      <c r="E27" s="116"/>
      <c r="F27" s="30">
        <f>F4/F23</f>
        <v>0.65069517076723415</v>
      </c>
      <c r="G27" s="30">
        <f>G4/G23</f>
        <v>0.75008983803485718</v>
      </c>
      <c r="H27" s="30">
        <f>H4/H23</f>
        <v>0.74659222737819031</v>
      </c>
      <c r="J27" s="114"/>
      <c r="K27" s="114"/>
      <c r="L27" s="114"/>
      <c r="M27" s="114"/>
      <c r="N27" s="114"/>
      <c r="O27" s="114"/>
      <c r="P27" s="114"/>
      <c r="Q27" s="114"/>
      <c r="R27" s="114"/>
    </row>
    <row r="28" spans="1:25" ht="14.75" customHeight="1" x14ac:dyDescent="0.2">
      <c r="B28" s="116" t="s">
        <v>132</v>
      </c>
      <c r="C28" s="116"/>
      <c r="D28" s="116"/>
      <c r="E28" s="116"/>
      <c r="F28" s="30">
        <f>F15/F23</f>
        <v>0.34930482923276585</v>
      </c>
      <c r="G28" s="30">
        <f>G15/G23</f>
        <v>0.24991016196514285</v>
      </c>
      <c r="H28" s="30">
        <f>H15/H23</f>
        <v>0.25340777262180975</v>
      </c>
      <c r="J28" s="114"/>
      <c r="K28" s="114"/>
      <c r="L28" s="114"/>
      <c r="M28" s="114"/>
      <c r="N28" s="114"/>
      <c r="O28" s="114"/>
      <c r="P28" s="114"/>
      <c r="Q28" s="114"/>
      <c r="R28" s="114"/>
    </row>
    <row r="29" spans="1:25" ht="14.75" customHeight="1" x14ac:dyDescent="0.2">
      <c r="B29" s="116" t="s">
        <v>133</v>
      </c>
      <c r="C29" s="116"/>
      <c r="D29" s="116"/>
      <c r="E29" s="116"/>
      <c r="F29" s="30">
        <f>F4/F15</f>
        <v>1.8628290144068727</v>
      </c>
      <c r="G29" s="30">
        <f>G4/G15</f>
        <v>3.00143792527924</v>
      </c>
      <c r="H29" s="30">
        <f>H4/H15</f>
        <v>2.9462088698140199</v>
      </c>
      <c r="J29" s="114"/>
      <c r="K29" s="114"/>
      <c r="L29" s="114"/>
      <c r="M29" s="114"/>
      <c r="N29" s="114"/>
      <c r="O29" s="114"/>
      <c r="P29" s="114"/>
      <c r="Q29" s="114"/>
      <c r="R29" s="114"/>
    </row>
    <row r="30" spans="1:25" x14ac:dyDescent="0.2">
      <c r="J30" s="114"/>
      <c r="K30" s="114"/>
      <c r="L30" s="114"/>
      <c r="M30" s="114"/>
      <c r="N30" s="114"/>
      <c r="O30" s="114"/>
      <c r="P30" s="114"/>
      <c r="Q30" s="114"/>
      <c r="R30" s="114"/>
    </row>
    <row r="31" spans="1:25" ht="14.75" customHeight="1" x14ac:dyDescent="0.2">
      <c r="C31" s="81"/>
      <c r="D31" s="81"/>
      <c r="E31" s="81"/>
      <c r="F31" s="81"/>
      <c r="G31" s="81"/>
      <c r="H31" s="81"/>
      <c r="J31" s="114"/>
      <c r="K31" s="114"/>
      <c r="L31" s="114"/>
      <c r="M31" s="114"/>
      <c r="N31" s="114"/>
      <c r="O31" s="114"/>
      <c r="P31" s="114"/>
      <c r="Q31" s="114"/>
      <c r="R31" s="114"/>
    </row>
    <row r="32" spans="1:25" x14ac:dyDescent="0.2">
      <c r="B32" s="81"/>
      <c r="C32" s="81"/>
      <c r="D32" s="81"/>
      <c r="E32" s="81"/>
      <c r="F32" s="81"/>
      <c r="G32" s="81"/>
      <c r="H32" s="81"/>
      <c r="J32" s="114"/>
      <c r="K32" s="114"/>
      <c r="L32" s="114"/>
      <c r="M32" s="114"/>
      <c r="N32" s="114"/>
      <c r="O32" s="114"/>
      <c r="P32" s="114"/>
      <c r="Q32" s="114"/>
      <c r="R32" s="114"/>
    </row>
    <row r="33" spans="2:18" x14ac:dyDescent="0.2">
      <c r="B33" s="81"/>
      <c r="C33" s="81"/>
      <c r="D33" s="81"/>
      <c r="E33" s="81"/>
      <c r="F33" s="81"/>
      <c r="G33" s="81"/>
      <c r="H33" s="81"/>
      <c r="J33" s="114"/>
      <c r="K33" s="114"/>
      <c r="L33" s="114"/>
      <c r="M33" s="114"/>
      <c r="N33" s="114"/>
      <c r="O33" s="114"/>
      <c r="P33" s="114"/>
      <c r="Q33" s="114"/>
      <c r="R33" s="114"/>
    </row>
    <row r="34" spans="2:18" x14ac:dyDescent="0.2">
      <c r="B34" s="81"/>
      <c r="C34" s="81"/>
      <c r="D34" s="81"/>
      <c r="E34" s="81"/>
      <c r="F34" s="81"/>
      <c r="G34" s="81"/>
      <c r="H34" s="81"/>
      <c r="J34" s="114"/>
      <c r="K34" s="114"/>
      <c r="L34" s="114"/>
      <c r="M34" s="114"/>
      <c r="N34" s="114"/>
      <c r="O34" s="114"/>
      <c r="P34" s="114"/>
      <c r="Q34" s="114"/>
      <c r="R34" s="114"/>
    </row>
  </sheetData>
  <mergeCells count="30">
    <mergeCell ref="P2:R2"/>
    <mergeCell ref="J2:L2"/>
    <mergeCell ref="T4:Y14"/>
    <mergeCell ref="T16:Y22"/>
    <mergeCell ref="J26:R34"/>
    <mergeCell ref="A15:E15"/>
    <mergeCell ref="A23:E23"/>
    <mergeCell ref="A22:E22"/>
    <mergeCell ref="B27:E27"/>
    <mergeCell ref="B28:E28"/>
    <mergeCell ref="B29:E29"/>
    <mergeCell ref="A16:E16"/>
    <mergeCell ref="A17:E17"/>
    <mergeCell ref="A18:E18"/>
    <mergeCell ref="A19:E19"/>
    <mergeCell ref="A20:E20"/>
    <mergeCell ref="A21:E21"/>
    <mergeCell ref="A10:E10"/>
    <mergeCell ref="A11:E11"/>
    <mergeCell ref="A12:E12"/>
    <mergeCell ref="A13:E13"/>
    <mergeCell ref="A14:E14"/>
    <mergeCell ref="A9:E9"/>
    <mergeCell ref="A1:B1"/>
    <mergeCell ref="A5:E5"/>
    <mergeCell ref="A6:E6"/>
    <mergeCell ref="A7:E7"/>
    <mergeCell ref="A8:E8"/>
    <mergeCell ref="A3:E3"/>
    <mergeCell ref="A4:E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E32F1-6748-4BBB-837D-923F5D7395E5}">
  <dimension ref="A2:AS44"/>
  <sheetViews>
    <sheetView topLeftCell="AB1" zoomScale="90" zoomScaleNormal="90" workbookViewId="0">
      <selection activeCell="AD64" sqref="AD64"/>
    </sheetView>
  </sheetViews>
  <sheetFormatPr baseColWidth="10" defaultColWidth="8.6640625" defaultRowHeight="15" x14ac:dyDescent="0.2"/>
  <cols>
    <col min="8" max="10" width="13.6640625" bestFit="1" customWidth="1"/>
    <col min="16" max="18" width="11.6640625" customWidth="1"/>
    <col min="22" max="22" width="12.1640625" customWidth="1"/>
    <col min="23" max="23" width="15.6640625" customWidth="1"/>
    <col min="25" max="25" width="12.1640625" customWidth="1"/>
    <col min="26" max="26" width="12.5" customWidth="1"/>
    <col min="27" max="27" width="16.6640625" customWidth="1"/>
    <col min="30" max="30" width="12.33203125" customWidth="1"/>
    <col min="31" max="31" width="57.6640625" customWidth="1"/>
    <col min="45" max="45" width="12.33203125" customWidth="1"/>
  </cols>
  <sheetData>
    <row r="2" spans="1:45" ht="31.5" customHeight="1" x14ac:dyDescent="0.2">
      <c r="L2" s="121" t="s">
        <v>134</v>
      </c>
      <c r="M2" s="121"/>
      <c r="N2" s="121"/>
      <c r="P2" s="119" t="s">
        <v>135</v>
      </c>
      <c r="Q2" s="119"/>
      <c r="R2" s="119"/>
      <c r="T2" s="79"/>
      <c r="U2" s="79" t="s">
        <v>136</v>
      </c>
      <c r="V2" s="79" t="s">
        <v>128</v>
      </c>
      <c r="W2" s="12" t="s">
        <v>137</v>
      </c>
      <c r="X2" s="79"/>
      <c r="Y2" s="79" t="s">
        <v>136</v>
      </c>
      <c r="Z2" s="79" t="s">
        <v>128</v>
      </c>
      <c r="AA2" s="12" t="s">
        <v>137</v>
      </c>
    </row>
    <row r="3" spans="1:45" ht="14.75" customHeight="1" x14ac:dyDescent="0.2">
      <c r="A3" s="122" t="s">
        <v>29</v>
      </c>
      <c r="B3" s="122"/>
      <c r="C3" s="122"/>
      <c r="D3" s="122"/>
      <c r="E3" s="122"/>
      <c r="F3" s="122"/>
      <c r="G3" s="122"/>
      <c r="H3" s="55">
        <v>2021</v>
      </c>
      <c r="I3" s="55">
        <v>2020</v>
      </c>
      <c r="J3" s="55">
        <v>2019</v>
      </c>
      <c r="K3" s="55"/>
      <c r="L3" s="55">
        <v>2021</v>
      </c>
      <c r="M3" s="55">
        <v>2020</v>
      </c>
      <c r="N3" s="55">
        <v>2019</v>
      </c>
      <c r="O3" s="55"/>
      <c r="P3" s="55">
        <v>2021</v>
      </c>
      <c r="Q3" s="55">
        <v>2020</v>
      </c>
      <c r="R3" s="55">
        <v>2019</v>
      </c>
      <c r="S3" s="55"/>
      <c r="T3" s="55"/>
      <c r="U3" s="126" t="s">
        <v>127</v>
      </c>
      <c r="V3" s="126"/>
      <c r="W3" s="126"/>
      <c r="X3" s="26"/>
      <c r="Y3" s="126" t="s">
        <v>129</v>
      </c>
      <c r="Z3" s="126"/>
      <c r="AA3" s="126"/>
    </row>
    <row r="4" spans="1:45" ht="14.75" customHeight="1" x14ac:dyDescent="0.2">
      <c r="A4" s="115" t="s">
        <v>30</v>
      </c>
      <c r="B4" s="115"/>
      <c r="C4" s="115"/>
      <c r="D4" s="115"/>
      <c r="E4" s="115"/>
      <c r="F4" s="115"/>
      <c r="G4" s="115"/>
      <c r="H4" s="24">
        <v>96900</v>
      </c>
      <c r="I4" s="24">
        <v>81805</v>
      </c>
      <c r="J4" s="24">
        <v>77366</v>
      </c>
      <c r="K4" s="15"/>
      <c r="L4" s="9">
        <f t="shared" ref="L4:L25" si="0">H4/$H$26</f>
        <v>0.53061872662457488</v>
      </c>
      <c r="M4" s="9">
        <f t="shared" ref="M4:M25" si="1">I4/$I$26</f>
        <v>0.52494288867784078</v>
      </c>
      <c r="N4" s="9">
        <f t="shared" ref="N4:N25" si="2">J4/$J$26</f>
        <v>0.50995306897279058</v>
      </c>
      <c r="O4" s="15"/>
      <c r="P4" s="15"/>
      <c r="Q4" s="15"/>
      <c r="R4" s="15"/>
      <c r="S4" s="15"/>
      <c r="T4" s="15"/>
      <c r="U4" s="9">
        <f>H4/I4</f>
        <v>1.1845241733390379</v>
      </c>
      <c r="V4" s="9">
        <f>(H4-I4)/I4</f>
        <v>0.18452417333903795</v>
      </c>
      <c r="W4" s="24">
        <f>H4-I4</f>
        <v>15095</v>
      </c>
      <c r="X4" s="15"/>
      <c r="Y4" s="9">
        <f t="shared" ref="Y4:Y11" si="3">I4/J4</f>
        <v>1.0573766253909986</v>
      </c>
      <c r="Z4" s="9">
        <f t="shared" ref="Z4:Z11" si="4">(I4-J4)/J4</f>
        <v>5.737662539099863E-2</v>
      </c>
      <c r="AA4" s="24">
        <f>I4-J4</f>
        <v>4439</v>
      </c>
      <c r="AF4" s="14">
        <v>2021</v>
      </c>
      <c r="AG4" s="14">
        <v>2020</v>
      </c>
      <c r="AH4" s="14">
        <v>2019</v>
      </c>
    </row>
    <row r="5" spans="1:45" ht="14.75" customHeight="1" x14ac:dyDescent="0.2">
      <c r="A5" s="120" t="s">
        <v>31</v>
      </c>
      <c r="B5" s="120"/>
      <c r="C5" s="120"/>
      <c r="D5" s="120"/>
      <c r="E5" s="120"/>
      <c r="F5" s="120"/>
      <c r="G5" s="120"/>
      <c r="H5" s="2">
        <v>27750</v>
      </c>
      <c r="I5" s="2">
        <v>27750</v>
      </c>
      <c r="J5" s="2">
        <v>27750</v>
      </c>
      <c r="L5" s="5">
        <f t="shared" si="0"/>
        <v>0.15195737527174361</v>
      </c>
      <c r="M5" s="5">
        <f t="shared" si="1"/>
        <v>0.17807181909186581</v>
      </c>
      <c r="N5" s="5">
        <f t="shared" si="2"/>
        <v>0.1829123602615482</v>
      </c>
      <c r="P5" s="7">
        <f>H5/$H$4</f>
        <v>0.28637770897832815</v>
      </c>
      <c r="Q5" s="7">
        <f>I5/$I$4</f>
        <v>0.33922131899028179</v>
      </c>
      <c r="R5" s="7">
        <f>J5/$J$4</f>
        <v>0.35868469353462762</v>
      </c>
      <c r="U5" s="5">
        <f t="shared" ref="U5:U26" si="5">H5/I5</f>
        <v>1</v>
      </c>
      <c r="V5" s="5">
        <f>(H5-I5)/I5</f>
        <v>0</v>
      </c>
      <c r="W5" s="2">
        <f t="shared" ref="W5:W26" si="6">H5-I5</f>
        <v>0</v>
      </c>
      <c r="Y5" s="5">
        <f t="shared" si="3"/>
        <v>1</v>
      </c>
      <c r="Z5" s="5">
        <f t="shared" si="4"/>
        <v>0</v>
      </c>
      <c r="AA5" s="2">
        <f t="shared" ref="AA5:AA26" si="7">I5-J5</f>
        <v>0</v>
      </c>
      <c r="AD5" s="124" t="s">
        <v>138</v>
      </c>
      <c r="AE5" s="82" t="s">
        <v>139</v>
      </c>
      <c r="AF5" s="8">
        <f>H4/H26</f>
        <v>0.53061872662457488</v>
      </c>
      <c r="AG5" s="8">
        <f>I4/I26</f>
        <v>0.52494288867784078</v>
      </c>
      <c r="AH5" s="8">
        <f>J4/J26</f>
        <v>0.50995306897279058</v>
      </c>
      <c r="AI5" s="130" t="s">
        <v>140</v>
      </c>
      <c r="AJ5" s="130"/>
      <c r="AK5" s="130"/>
      <c r="AL5" s="130"/>
      <c r="AM5" s="130"/>
      <c r="AN5" s="130"/>
      <c r="AO5" s="130"/>
    </row>
    <row r="6" spans="1:45" ht="14.75" customHeight="1" x14ac:dyDescent="0.2">
      <c r="A6" s="109" t="s">
        <v>32</v>
      </c>
      <c r="B6" s="109"/>
      <c r="C6" s="109"/>
      <c r="D6" s="109"/>
      <c r="E6" s="109"/>
      <c r="F6" s="109"/>
      <c r="G6" s="109"/>
      <c r="H6" s="2">
        <v>39228</v>
      </c>
      <c r="I6" s="2">
        <v>35303</v>
      </c>
      <c r="J6" s="2">
        <v>32362</v>
      </c>
      <c r="L6" s="5">
        <f t="shared" si="0"/>
        <v>0.2148102312490075</v>
      </c>
      <c r="M6" s="5">
        <f t="shared" si="1"/>
        <v>0.2265394388973023</v>
      </c>
      <c r="N6" s="5">
        <f t="shared" si="2"/>
        <v>0.21331206496519722</v>
      </c>
      <c r="P6" s="7">
        <f>H6/$H$4</f>
        <v>0.40482972136222911</v>
      </c>
      <c r="Q6" s="7">
        <f>I6/$I$4</f>
        <v>0.43155063871401506</v>
      </c>
      <c r="R6" s="7">
        <f>J6/$J$4</f>
        <v>0.41829744332135566</v>
      </c>
      <c r="U6" s="5">
        <f t="shared" si="5"/>
        <v>1.111180352944509</v>
      </c>
      <c r="V6" s="5">
        <f t="shared" ref="V6:V26" si="8">(H6-I6)/I6</f>
        <v>0.11118035294450897</v>
      </c>
      <c r="W6" s="2">
        <f t="shared" si="6"/>
        <v>3925</v>
      </c>
      <c r="Y6" s="5">
        <f t="shared" si="3"/>
        <v>1.0908781904703047</v>
      </c>
      <c r="Z6" s="5">
        <f t="shared" si="4"/>
        <v>9.0878190470304682E-2</v>
      </c>
      <c r="AA6" s="2">
        <f t="shared" si="7"/>
        <v>2941</v>
      </c>
      <c r="AD6" s="124"/>
      <c r="AE6" s="81"/>
      <c r="AI6" s="130"/>
      <c r="AJ6" s="130"/>
      <c r="AK6" s="130"/>
      <c r="AL6" s="130"/>
      <c r="AM6" s="130"/>
      <c r="AN6" s="130"/>
      <c r="AO6" s="130"/>
    </row>
    <row r="7" spans="1:45" ht="14.75" customHeight="1" x14ac:dyDescent="0.2">
      <c r="A7" s="120" t="s">
        <v>33</v>
      </c>
      <c r="B7" s="120"/>
      <c r="C7" s="120"/>
      <c r="D7" s="120"/>
      <c r="E7" s="120"/>
      <c r="F7" s="120"/>
      <c r="G7" s="120"/>
      <c r="H7" s="2">
        <v>24888</v>
      </c>
      <c r="I7" s="2">
        <v>12000</v>
      </c>
      <c r="J7" s="2">
        <v>12000</v>
      </c>
      <c r="L7" s="5">
        <f t="shared" si="0"/>
        <v>0.13628523083831187</v>
      </c>
      <c r="M7" s="5">
        <f t="shared" si="1"/>
        <v>7.7004029877563593E-2</v>
      </c>
      <c r="N7" s="5">
        <f t="shared" si="2"/>
        <v>7.9097236869858686E-2</v>
      </c>
      <c r="P7" s="7">
        <f>H7/$H$4</f>
        <v>0.25684210526315787</v>
      </c>
      <c r="Q7" s="7">
        <f>I7/$I$4</f>
        <v>0.14669030010390563</v>
      </c>
      <c r="R7" s="7">
        <f>J7/$J$4</f>
        <v>0.15510689450146059</v>
      </c>
      <c r="U7" s="5">
        <f t="shared" si="5"/>
        <v>2.0739999999999998</v>
      </c>
      <c r="V7" s="5">
        <f t="shared" si="8"/>
        <v>1.0740000000000001</v>
      </c>
      <c r="W7" s="2">
        <f t="shared" si="6"/>
        <v>12888</v>
      </c>
      <c r="Y7" s="5">
        <f t="shared" si="3"/>
        <v>1</v>
      </c>
      <c r="Z7" s="5">
        <f t="shared" si="4"/>
        <v>0</v>
      </c>
      <c r="AA7" s="2">
        <f t="shared" si="7"/>
        <v>0</v>
      </c>
      <c r="AE7" s="4" t="s">
        <v>141</v>
      </c>
      <c r="AF7" s="8">
        <f>H25/H26</f>
        <v>0.46938127337542507</v>
      </c>
      <c r="AG7" s="8">
        <f>I25/I26</f>
        <v>0.47505711132215922</v>
      </c>
      <c r="AH7" s="8">
        <f>J25/J26</f>
        <v>0.49004693102720948</v>
      </c>
      <c r="AI7" s="130" t="s">
        <v>142</v>
      </c>
      <c r="AJ7" s="130"/>
      <c r="AK7" s="130"/>
      <c r="AL7" s="130"/>
      <c r="AM7" s="130"/>
      <c r="AN7" s="130"/>
      <c r="AO7" s="130"/>
    </row>
    <row r="8" spans="1:45" ht="14.75" customHeight="1" x14ac:dyDescent="0.2">
      <c r="A8" s="109" t="s">
        <v>34</v>
      </c>
      <c r="B8" s="109"/>
      <c r="C8" s="109"/>
      <c r="D8" s="109"/>
      <c r="E8" s="109"/>
      <c r="F8" s="109"/>
      <c r="G8" s="109"/>
      <c r="H8" s="2">
        <v>5034</v>
      </c>
      <c r="I8" s="2">
        <v>6752</v>
      </c>
      <c r="J8" s="2">
        <v>5586</v>
      </c>
      <c r="L8" s="5">
        <f t="shared" si="0"/>
        <v>2.7565889265511973E-2</v>
      </c>
      <c r="M8" s="5">
        <f t="shared" si="1"/>
        <v>4.3327600811109111E-2</v>
      </c>
      <c r="N8" s="5">
        <f t="shared" si="2"/>
        <v>3.6819763762919212E-2</v>
      </c>
      <c r="P8" s="7">
        <f>H8/$H$4</f>
        <v>5.1950464396284833E-2</v>
      </c>
      <c r="Q8" s="7">
        <f>I8/$I$4</f>
        <v>8.2537742191797561E-2</v>
      </c>
      <c r="R8" s="7">
        <f>J8/$J$4</f>
        <v>7.2202259390429901E-2</v>
      </c>
      <c r="U8" s="5">
        <f t="shared" si="5"/>
        <v>0.74555687203791465</v>
      </c>
      <c r="V8" s="5">
        <f t="shared" si="8"/>
        <v>-0.25444312796208529</v>
      </c>
      <c r="W8" s="2">
        <f t="shared" si="6"/>
        <v>-1718</v>
      </c>
      <c r="Y8" s="5">
        <f t="shared" si="3"/>
        <v>1.2087361260293592</v>
      </c>
      <c r="Z8" s="5">
        <f t="shared" si="4"/>
        <v>0.20873612602935912</v>
      </c>
      <c r="AA8" s="2">
        <f t="shared" si="7"/>
        <v>1166</v>
      </c>
      <c r="AI8" s="130"/>
      <c r="AJ8" s="130"/>
      <c r="AK8" s="130"/>
      <c r="AL8" s="130"/>
      <c r="AM8" s="130"/>
      <c r="AN8" s="130"/>
      <c r="AO8" s="130"/>
    </row>
    <row r="9" spans="1:45" ht="14.75" customHeight="1" x14ac:dyDescent="0.2">
      <c r="A9" s="123" t="s">
        <v>35</v>
      </c>
      <c r="B9" s="123"/>
      <c r="C9" s="123"/>
      <c r="D9" s="123"/>
      <c r="E9" s="123"/>
      <c r="F9" s="123"/>
      <c r="G9" s="123"/>
      <c r="H9" s="23">
        <v>41997</v>
      </c>
      <c r="I9" s="23">
        <v>32616</v>
      </c>
      <c r="J9" s="23">
        <v>34449</v>
      </c>
      <c r="K9" s="4"/>
      <c r="L9" s="8">
        <f t="shared" si="0"/>
        <v>0.22997311312747445</v>
      </c>
      <c r="M9" s="8">
        <f t="shared" si="1"/>
        <v>0.20929695320721783</v>
      </c>
      <c r="N9" s="8">
        <f t="shared" si="2"/>
        <v>0.22706839274414681</v>
      </c>
      <c r="O9" s="4"/>
      <c r="P9" s="6">
        <f t="shared" ref="P9:P24" si="9">H9/$H$25</f>
        <v>0.48994948493297713</v>
      </c>
      <c r="Q9" s="6">
        <f t="shared" ref="Q9:Q24" si="10">I9/$I$25</f>
        <v>0.44057219273007253</v>
      </c>
      <c r="R9" s="6">
        <f t="shared" ref="R9:R24" si="11">J9/$J$25</f>
        <v>0.46336050359131625</v>
      </c>
      <c r="S9" s="4"/>
      <c r="T9" s="4"/>
      <c r="U9" s="8">
        <f t="shared" si="5"/>
        <v>1.2876195732155997</v>
      </c>
      <c r="V9" s="8">
        <f t="shared" si="8"/>
        <v>0.28761957321559972</v>
      </c>
      <c r="W9" s="23">
        <f t="shared" si="6"/>
        <v>9381</v>
      </c>
      <c r="X9" s="4"/>
      <c r="Y9" s="8">
        <f t="shared" si="3"/>
        <v>0.94679090829922496</v>
      </c>
      <c r="Z9" s="8">
        <f t="shared" si="4"/>
        <v>-5.3209091700775056E-2</v>
      </c>
      <c r="AA9" s="23">
        <f t="shared" si="7"/>
        <v>-1833</v>
      </c>
      <c r="AE9" s="4" t="s">
        <v>143</v>
      </c>
      <c r="AF9" s="8">
        <f>(H4+H9+H10)/H26</f>
        <v>0.77737560030008157</v>
      </c>
      <c r="AG9" s="8">
        <f>(I4+I9+I10)/I26</f>
        <v>0.75311866321004128</v>
      </c>
      <c r="AH9" s="8">
        <f>(J4+J9+J10)/J26</f>
        <v>0.75844363003585746</v>
      </c>
      <c r="AI9" s="130" t="s">
        <v>144</v>
      </c>
      <c r="AJ9" s="130"/>
      <c r="AK9" s="130"/>
      <c r="AL9" s="130"/>
      <c r="AM9" s="130"/>
      <c r="AN9" s="130"/>
      <c r="AO9" s="130"/>
      <c r="AP9" s="130"/>
      <c r="AQ9" s="130"/>
      <c r="AR9" s="130"/>
      <c r="AS9" s="130"/>
    </row>
    <row r="10" spans="1:45" ht="14.75" customHeight="1" x14ac:dyDescent="0.2">
      <c r="A10" s="109" t="s">
        <v>36</v>
      </c>
      <c r="B10" s="109"/>
      <c r="C10" s="109"/>
      <c r="D10" s="109"/>
      <c r="E10" s="109"/>
      <c r="F10" s="109"/>
      <c r="G10" s="109"/>
      <c r="H10" s="2">
        <v>3065</v>
      </c>
      <c r="I10" s="2">
        <v>2942</v>
      </c>
      <c r="J10" s="2">
        <v>3250</v>
      </c>
      <c r="L10" s="5">
        <f t="shared" si="0"/>
        <v>1.6783760548032222E-2</v>
      </c>
      <c r="M10" s="5">
        <f t="shared" si="1"/>
        <v>1.8878821324982673E-2</v>
      </c>
      <c r="N10" s="5">
        <f t="shared" si="2"/>
        <v>2.1422168318920059E-2</v>
      </c>
      <c r="P10" s="6">
        <f t="shared" si="9"/>
        <v>3.5757201021967638E-2</v>
      </c>
      <c r="Q10" s="6">
        <f t="shared" si="10"/>
        <v>3.974010887330983E-2</v>
      </c>
      <c r="R10" s="6">
        <f t="shared" si="11"/>
        <v>4.3714523982460389E-2</v>
      </c>
      <c r="U10" s="5">
        <f t="shared" si="5"/>
        <v>1.0418082936777702</v>
      </c>
      <c r="V10" s="5">
        <f t="shared" si="8"/>
        <v>4.1808293677770225E-2</v>
      </c>
      <c r="W10" s="2">
        <f t="shared" si="6"/>
        <v>123</v>
      </c>
      <c r="Y10" s="5">
        <f t="shared" si="3"/>
        <v>0.90523076923076928</v>
      </c>
      <c r="Z10" s="5">
        <f t="shared" si="4"/>
        <v>-9.4769230769230772E-2</v>
      </c>
      <c r="AA10" s="2">
        <f t="shared" si="7"/>
        <v>-308</v>
      </c>
      <c r="AI10" s="130"/>
      <c r="AJ10" s="130"/>
      <c r="AK10" s="130"/>
      <c r="AL10" s="130"/>
      <c r="AM10" s="130"/>
      <c r="AN10" s="130"/>
      <c r="AO10" s="130"/>
      <c r="AP10" s="130"/>
      <c r="AQ10" s="130"/>
      <c r="AR10" s="130"/>
      <c r="AS10" s="130"/>
    </row>
    <row r="11" spans="1:45" ht="14.75" customHeight="1" x14ac:dyDescent="0.2">
      <c r="A11" s="109" t="s">
        <v>37</v>
      </c>
      <c r="B11" s="109"/>
      <c r="C11" s="109"/>
      <c r="D11" s="109"/>
      <c r="E11" s="109"/>
      <c r="F11" s="109"/>
      <c r="G11" s="109"/>
      <c r="H11" s="2">
        <v>18027</v>
      </c>
      <c r="I11" s="2">
        <v>7949</v>
      </c>
      <c r="J11" s="2">
        <v>14772</v>
      </c>
      <c r="L11" s="5">
        <f t="shared" si="0"/>
        <v>9.871479654139538E-2</v>
      </c>
      <c r="M11" s="5">
        <f t="shared" si="1"/>
        <v>5.1008752791396085E-2</v>
      </c>
      <c r="N11" s="5">
        <f t="shared" si="2"/>
        <v>9.7368698586796032E-2</v>
      </c>
      <c r="P11" s="6">
        <f t="shared" si="9"/>
        <v>0.21030834023589254</v>
      </c>
      <c r="Q11" s="6">
        <f t="shared" si="10"/>
        <v>0.10737393794491497</v>
      </c>
      <c r="R11" s="6">
        <f t="shared" si="11"/>
        <v>0.19869259946735535</v>
      </c>
      <c r="U11" s="5">
        <f t="shared" si="5"/>
        <v>2.2678324317524217</v>
      </c>
      <c r="V11" s="5">
        <f t="shared" si="8"/>
        <v>1.2678324317524217</v>
      </c>
      <c r="W11" s="2">
        <f t="shared" si="6"/>
        <v>10078</v>
      </c>
      <c r="Y11" s="5">
        <f t="shared" si="3"/>
        <v>0.53811264554562688</v>
      </c>
      <c r="Z11" s="5">
        <f t="shared" si="4"/>
        <v>-0.46188735445437312</v>
      </c>
      <c r="AA11" s="2">
        <f t="shared" si="7"/>
        <v>-6823</v>
      </c>
      <c r="AE11" s="4" t="s">
        <v>145</v>
      </c>
      <c r="AF11" s="8">
        <f>(H16+H9)/H26</f>
        <v>0.46938127337542507</v>
      </c>
      <c r="AG11" s="8">
        <f>(I16+I9)/I26</f>
        <v>0.47505711132215922</v>
      </c>
      <c r="AH11" s="8">
        <f>(J16+J9)/J26</f>
        <v>0.49004693102720948</v>
      </c>
      <c r="AI11" s="130" t="s">
        <v>146</v>
      </c>
      <c r="AJ11" s="130"/>
      <c r="AK11" s="130"/>
      <c r="AL11" s="130"/>
      <c r="AM11" s="130"/>
      <c r="AN11" s="130"/>
      <c r="AO11" s="130"/>
      <c r="AP11" s="130"/>
      <c r="AQ11" s="130"/>
      <c r="AR11" s="130"/>
      <c r="AS11" s="130"/>
    </row>
    <row r="12" spans="1:45" ht="14.75" customHeight="1" x14ac:dyDescent="0.2">
      <c r="A12" s="109" t="s">
        <v>38</v>
      </c>
      <c r="B12" s="109"/>
      <c r="C12" s="109"/>
      <c r="D12" s="109"/>
      <c r="E12" s="109"/>
      <c r="F12" s="109"/>
      <c r="G12" s="109"/>
      <c r="H12" s="2">
        <v>215</v>
      </c>
      <c r="I12" s="2">
        <v>1104</v>
      </c>
      <c r="J12" s="2">
        <v>0</v>
      </c>
      <c r="L12" s="5">
        <f t="shared" si="0"/>
        <v>1.1773274120153107E-3</v>
      </c>
      <c r="M12" s="5">
        <f t="shared" si="1"/>
        <v>7.0843707487358507E-3</v>
      </c>
      <c r="N12" s="5">
        <f t="shared" si="2"/>
        <v>0</v>
      </c>
      <c r="P12" s="6">
        <f t="shared" si="9"/>
        <v>2.5082539052929992E-3</v>
      </c>
      <c r="Q12" s="6">
        <f t="shared" si="10"/>
        <v>1.4912671718604368E-2</v>
      </c>
      <c r="R12" s="6">
        <f t="shared" si="11"/>
        <v>0</v>
      </c>
      <c r="U12" s="5">
        <f t="shared" si="5"/>
        <v>0.19474637681159421</v>
      </c>
      <c r="V12" s="5">
        <f t="shared" si="8"/>
        <v>-0.80525362318840576</v>
      </c>
      <c r="W12" s="2">
        <f t="shared" si="6"/>
        <v>-889</v>
      </c>
      <c r="Y12" s="5">
        <v>0</v>
      </c>
      <c r="Z12" s="5">
        <v>0</v>
      </c>
      <c r="AA12" s="2">
        <f t="shared" si="7"/>
        <v>1104</v>
      </c>
      <c r="AI12" s="130"/>
      <c r="AJ12" s="130"/>
      <c r="AK12" s="130"/>
      <c r="AL12" s="130"/>
      <c r="AM12" s="130"/>
      <c r="AN12" s="130"/>
      <c r="AO12" s="130"/>
      <c r="AP12" s="130"/>
      <c r="AQ12" s="130"/>
      <c r="AR12" s="130"/>
      <c r="AS12" s="130"/>
    </row>
    <row r="13" spans="1:45" ht="14.75" customHeight="1" x14ac:dyDescent="0.2">
      <c r="A13" s="120" t="s">
        <v>39</v>
      </c>
      <c r="B13" s="120"/>
      <c r="C13" s="120"/>
      <c r="D13" s="120"/>
      <c r="E13" s="120"/>
      <c r="F13" s="120"/>
      <c r="G13" s="120"/>
      <c r="H13" s="2">
        <v>345</v>
      </c>
      <c r="I13" s="2">
        <v>336</v>
      </c>
      <c r="J13" s="2">
        <v>300</v>
      </c>
      <c r="L13" s="5">
        <f t="shared" si="0"/>
        <v>1.8891998006757313E-3</v>
      </c>
      <c r="M13" s="5">
        <f t="shared" si="1"/>
        <v>2.1561128365717806E-3</v>
      </c>
      <c r="N13" s="5">
        <f t="shared" si="2"/>
        <v>1.977430921746467E-3</v>
      </c>
      <c r="P13" s="6">
        <f t="shared" si="9"/>
        <v>4.0248725457027196E-3</v>
      </c>
      <c r="Q13" s="6">
        <f t="shared" si="10"/>
        <v>4.5386392187056774E-3</v>
      </c>
      <c r="R13" s="6">
        <f t="shared" si="11"/>
        <v>4.03518682915019E-3</v>
      </c>
      <c r="U13" s="5">
        <f t="shared" si="5"/>
        <v>1.0267857142857142</v>
      </c>
      <c r="V13" s="5">
        <f t="shared" si="8"/>
        <v>2.6785714285714284E-2</v>
      </c>
      <c r="W13" s="2">
        <f t="shared" si="6"/>
        <v>9</v>
      </c>
      <c r="Y13" s="5">
        <f>I13/J13</f>
        <v>1.1200000000000001</v>
      </c>
      <c r="Z13" s="5">
        <f>(I13-J13)/J13</f>
        <v>0.12</v>
      </c>
      <c r="AA13" s="2">
        <f t="shared" si="7"/>
        <v>36</v>
      </c>
      <c r="AE13" s="4" t="s">
        <v>147</v>
      </c>
      <c r="AF13" s="8">
        <f>H9/H26</f>
        <v>0.22997311312747445</v>
      </c>
      <c r="AG13" s="8">
        <f>I9/I26</f>
        <v>0.20929695320721783</v>
      </c>
      <c r="AH13" s="8">
        <f>J9/J26</f>
        <v>0.22706839274414681</v>
      </c>
      <c r="AI13" s="130" t="s">
        <v>148</v>
      </c>
      <c r="AJ13" s="130"/>
      <c r="AK13" s="130"/>
      <c r="AL13" s="130"/>
      <c r="AM13" s="130"/>
      <c r="AN13" s="130"/>
      <c r="AO13" s="130"/>
      <c r="AP13" s="130"/>
      <c r="AQ13" s="130"/>
      <c r="AR13" s="130"/>
      <c r="AS13" s="130"/>
    </row>
    <row r="14" spans="1:45" ht="14.75" customHeight="1" x14ac:dyDescent="0.2">
      <c r="A14" s="109" t="s">
        <v>40</v>
      </c>
      <c r="B14" s="109"/>
      <c r="C14" s="109"/>
      <c r="D14" s="109"/>
      <c r="E14" s="109"/>
      <c r="F14" s="109"/>
      <c r="G14" s="109"/>
      <c r="H14" s="2">
        <v>16777</v>
      </c>
      <c r="I14" s="2">
        <v>16944</v>
      </c>
      <c r="J14" s="2">
        <v>11711</v>
      </c>
      <c r="L14" s="5">
        <f t="shared" si="0"/>
        <v>9.1869869727352879E-2</v>
      </c>
      <c r="M14" s="5">
        <f t="shared" si="1"/>
        <v>0.1087296901871198</v>
      </c>
      <c r="N14" s="5">
        <f t="shared" si="2"/>
        <v>7.7192311748576256E-2</v>
      </c>
      <c r="P14" s="6">
        <f t="shared" si="9"/>
        <v>0.19572546869349136</v>
      </c>
      <c r="Q14" s="6">
        <f t="shared" si="10"/>
        <v>0.22887709202901488</v>
      </c>
      <c r="R14" s="6">
        <f t="shared" si="11"/>
        <v>0.15752024318725957</v>
      </c>
      <c r="U14" s="5">
        <f t="shared" si="5"/>
        <v>0.99014400377714828</v>
      </c>
      <c r="V14" s="5">
        <f t="shared" si="8"/>
        <v>-9.8559962228517463E-3</v>
      </c>
      <c r="W14" s="2">
        <f t="shared" si="6"/>
        <v>-167</v>
      </c>
      <c r="Y14" s="5">
        <f>I14/J14</f>
        <v>1.446844846725301</v>
      </c>
      <c r="Z14" s="5">
        <f>(I14-J14)/J14</f>
        <v>0.446844846725301</v>
      </c>
      <c r="AA14" s="2">
        <f t="shared" si="7"/>
        <v>5233</v>
      </c>
      <c r="AI14" s="130"/>
      <c r="AJ14" s="130"/>
      <c r="AK14" s="130"/>
      <c r="AL14" s="130"/>
      <c r="AM14" s="130"/>
      <c r="AN14" s="130"/>
      <c r="AO14" s="130"/>
      <c r="AP14" s="130"/>
      <c r="AQ14" s="130"/>
      <c r="AR14" s="130"/>
      <c r="AS14" s="130"/>
    </row>
    <row r="15" spans="1:45" ht="14.75" customHeight="1" x14ac:dyDescent="0.2">
      <c r="A15" s="109" t="s">
        <v>41</v>
      </c>
      <c r="B15" s="109"/>
      <c r="C15" s="109"/>
      <c r="D15" s="109"/>
      <c r="E15" s="109"/>
      <c r="F15" s="109"/>
      <c r="G15" s="109"/>
      <c r="H15" s="2">
        <v>3568</v>
      </c>
      <c r="I15" s="2">
        <v>3341</v>
      </c>
      <c r="J15" s="2">
        <v>1141</v>
      </c>
      <c r="L15" s="5">
        <f t="shared" si="0"/>
        <v>1.9538159098002925E-2</v>
      </c>
      <c r="M15" s="5">
        <f t="shared" si="1"/>
        <v>2.1439205318411664E-2</v>
      </c>
      <c r="N15" s="5">
        <f t="shared" si="2"/>
        <v>7.5208289390423962E-3</v>
      </c>
      <c r="P15" s="6">
        <f t="shared" si="9"/>
        <v>4.1625348530629866E-2</v>
      </c>
      <c r="Q15" s="6">
        <f t="shared" si="10"/>
        <v>4.512974294552282E-2</v>
      </c>
      <c r="R15" s="6">
        <f t="shared" si="11"/>
        <v>1.5347160573534555E-2</v>
      </c>
      <c r="U15" s="5">
        <f t="shared" si="5"/>
        <v>1.0679437294223286</v>
      </c>
      <c r="V15" s="5">
        <f t="shared" si="8"/>
        <v>6.7943729422328639E-2</v>
      </c>
      <c r="W15" s="2">
        <f t="shared" si="6"/>
        <v>227</v>
      </c>
      <c r="Y15" s="5">
        <f>I15/J15</f>
        <v>2.9281332164767746</v>
      </c>
      <c r="Z15" s="5">
        <f>(I15-J15)/J15</f>
        <v>1.9281332164767748</v>
      </c>
      <c r="AA15" s="2">
        <f t="shared" si="7"/>
        <v>2200</v>
      </c>
      <c r="AE15" s="4" t="s">
        <v>149</v>
      </c>
      <c r="AF15" s="8">
        <f>H16/H26</f>
        <v>0.23940816024795064</v>
      </c>
      <c r="AG15" s="8">
        <f>I16/I26</f>
        <v>0.26576015811494136</v>
      </c>
      <c r="AH15" s="8">
        <f>J16/J26</f>
        <v>0.26297853828306267</v>
      </c>
      <c r="AI15" s="130" t="s">
        <v>150</v>
      </c>
      <c r="AJ15" s="130"/>
      <c r="AK15" s="130"/>
      <c r="AL15" s="130"/>
      <c r="AM15" s="130"/>
      <c r="AN15" s="130"/>
      <c r="AO15" s="130"/>
      <c r="AP15" s="130"/>
      <c r="AQ15" s="130"/>
      <c r="AR15" s="130"/>
      <c r="AS15" s="130"/>
    </row>
    <row r="16" spans="1:45" ht="14.75" customHeight="1" x14ac:dyDescent="0.2">
      <c r="A16" s="116" t="s">
        <v>42</v>
      </c>
      <c r="B16" s="116"/>
      <c r="C16" s="116"/>
      <c r="D16" s="116"/>
      <c r="E16" s="116"/>
      <c r="F16" s="116"/>
      <c r="G16" s="116"/>
      <c r="H16" s="23">
        <v>43720</v>
      </c>
      <c r="I16" s="23">
        <v>41415</v>
      </c>
      <c r="J16" s="23">
        <v>39897</v>
      </c>
      <c r="K16" s="4"/>
      <c r="L16" s="8">
        <f t="shared" si="0"/>
        <v>0.23940816024795064</v>
      </c>
      <c r="M16" s="8">
        <f t="shared" si="1"/>
        <v>0.26576015811494136</v>
      </c>
      <c r="N16" s="8">
        <f t="shared" si="2"/>
        <v>0.26297853828306267</v>
      </c>
      <c r="O16" s="4"/>
      <c r="P16" s="6">
        <f t="shared" si="9"/>
        <v>0.51005051506702292</v>
      </c>
      <c r="Q16" s="6">
        <f t="shared" si="10"/>
        <v>0.55942780726992747</v>
      </c>
      <c r="R16" s="6">
        <f t="shared" si="11"/>
        <v>0.53663949640868369</v>
      </c>
      <c r="S16" s="4"/>
      <c r="T16" s="4"/>
      <c r="U16" s="8">
        <f t="shared" si="5"/>
        <v>1.0556561632258843</v>
      </c>
      <c r="V16" s="8">
        <f t="shared" si="8"/>
        <v>5.5656163225884341E-2</v>
      </c>
      <c r="W16" s="23">
        <f t="shared" si="6"/>
        <v>2305</v>
      </c>
      <c r="X16" s="4"/>
      <c r="Y16" s="8">
        <f>I16/J16</f>
        <v>1.0380479735318444</v>
      </c>
      <c r="Z16" s="8">
        <f>(I16-J16)/J16</f>
        <v>3.8047973531844498E-2</v>
      </c>
      <c r="AA16" s="23">
        <f t="shared" si="7"/>
        <v>1518</v>
      </c>
      <c r="AF16" s="5"/>
      <c r="AG16" s="5"/>
      <c r="AH16" s="5"/>
      <c r="AI16" s="130"/>
      <c r="AJ16" s="130"/>
      <c r="AK16" s="130"/>
      <c r="AL16" s="130"/>
      <c r="AM16" s="130"/>
      <c r="AN16" s="130"/>
      <c r="AO16" s="130"/>
      <c r="AP16" s="130"/>
      <c r="AQ16" s="130"/>
      <c r="AR16" s="130"/>
      <c r="AS16" s="130"/>
    </row>
    <row r="17" spans="1:33" ht="14.75" customHeight="1" x14ac:dyDescent="0.2">
      <c r="A17" s="109" t="s">
        <v>43</v>
      </c>
      <c r="B17" s="109"/>
      <c r="C17" s="109"/>
      <c r="D17" s="109"/>
      <c r="E17" s="109"/>
      <c r="F17" s="109"/>
      <c r="G17" s="109"/>
      <c r="H17" s="2">
        <v>11432</v>
      </c>
      <c r="I17" s="2">
        <v>11336</v>
      </c>
      <c r="J17" s="2">
        <v>10907</v>
      </c>
      <c r="L17" s="5">
        <f t="shared" si="0"/>
        <v>6.2600962670507132E-2</v>
      </c>
      <c r="M17" s="5">
        <f t="shared" si="1"/>
        <v>7.2743140224338407E-2</v>
      </c>
      <c r="N17" s="5">
        <f t="shared" si="2"/>
        <v>7.1892796878295723E-2</v>
      </c>
      <c r="P17" s="6">
        <f t="shared" si="9"/>
        <v>0.13336910997818402</v>
      </c>
      <c r="Q17" s="6">
        <f t="shared" si="10"/>
        <v>0.15312504221204631</v>
      </c>
      <c r="R17" s="6">
        <f t="shared" si="11"/>
        <v>0.14670594248513708</v>
      </c>
      <c r="U17" s="5">
        <f t="shared" si="5"/>
        <v>1.0084685956245589</v>
      </c>
      <c r="V17" s="5">
        <f t="shared" si="8"/>
        <v>8.4685956245589278E-3</v>
      </c>
      <c r="W17" s="2">
        <f t="shared" si="6"/>
        <v>96</v>
      </c>
      <c r="Y17" s="5">
        <f>I17/J17</f>
        <v>1.0393325387365913</v>
      </c>
      <c r="Z17" s="5">
        <f>(I17-J17)/J17</f>
        <v>3.9332538736591177E-2</v>
      </c>
      <c r="AA17" s="2">
        <f t="shared" si="7"/>
        <v>429</v>
      </c>
      <c r="AF17" s="5"/>
      <c r="AG17" s="5"/>
    </row>
    <row r="18" spans="1:33" ht="14.75" customHeight="1" x14ac:dyDescent="0.2">
      <c r="A18" s="109" t="s">
        <v>44</v>
      </c>
      <c r="B18" s="109"/>
      <c r="C18" s="109"/>
      <c r="D18" s="109"/>
      <c r="E18" s="109"/>
      <c r="F18" s="109"/>
      <c r="G18" s="109"/>
      <c r="H18" s="2">
        <v>368</v>
      </c>
      <c r="I18" s="2">
        <v>368</v>
      </c>
      <c r="J18" s="2">
        <v>0</v>
      </c>
      <c r="L18" s="5">
        <f t="shared" si="0"/>
        <v>2.0151464540541131E-3</v>
      </c>
      <c r="M18" s="5">
        <f t="shared" si="1"/>
        <v>2.3614569162452837E-3</v>
      </c>
      <c r="N18" s="5">
        <f t="shared" si="2"/>
        <v>0</v>
      </c>
      <c r="P18" s="6">
        <f t="shared" si="9"/>
        <v>4.2931973820829004E-3</v>
      </c>
      <c r="Q18" s="6">
        <f t="shared" si="10"/>
        <v>4.9708905728681231E-3</v>
      </c>
      <c r="R18" s="6">
        <f t="shared" si="11"/>
        <v>0</v>
      </c>
      <c r="U18" s="5">
        <f t="shared" si="5"/>
        <v>1</v>
      </c>
      <c r="V18" s="5">
        <f t="shared" si="8"/>
        <v>0</v>
      </c>
      <c r="W18" s="2">
        <f t="shared" si="6"/>
        <v>0</v>
      </c>
      <c r="Y18" s="5">
        <v>0</v>
      </c>
      <c r="Z18" s="5">
        <v>0</v>
      </c>
      <c r="AA18" s="2">
        <f t="shared" si="7"/>
        <v>368</v>
      </c>
    </row>
    <row r="19" spans="1:33" ht="14.75" customHeight="1" x14ac:dyDescent="0.2">
      <c r="A19" s="109" t="s">
        <v>45</v>
      </c>
      <c r="B19" s="109"/>
      <c r="C19" s="109"/>
      <c r="D19" s="109"/>
      <c r="E19" s="109"/>
      <c r="F19" s="109"/>
      <c r="G19" s="109"/>
      <c r="H19" s="2">
        <v>1391</v>
      </c>
      <c r="I19" s="2">
        <v>1381</v>
      </c>
      <c r="J19" s="2">
        <v>685</v>
      </c>
      <c r="L19" s="5">
        <f t="shared" si="0"/>
        <v>7.6170345586664984E-3</v>
      </c>
      <c r="M19" s="5">
        <f t="shared" si="1"/>
        <v>8.8618804384096098E-3</v>
      </c>
      <c r="N19" s="5">
        <f t="shared" si="2"/>
        <v>4.5151339379877666E-3</v>
      </c>
      <c r="P19" s="6">
        <f t="shared" si="9"/>
        <v>1.6227819452384006E-2</v>
      </c>
      <c r="Q19" s="6">
        <f t="shared" si="10"/>
        <v>1.8654347503073036E-2</v>
      </c>
      <c r="R19" s="6">
        <f t="shared" si="11"/>
        <v>9.2136765932262672E-3</v>
      </c>
      <c r="U19" s="5">
        <f t="shared" si="5"/>
        <v>1.00724112961622</v>
      </c>
      <c r="V19" s="5">
        <f t="shared" si="8"/>
        <v>7.2411296162201303E-3</v>
      </c>
      <c r="W19" s="2">
        <f t="shared" si="6"/>
        <v>10</v>
      </c>
      <c r="Y19" s="5">
        <f>I19/J19</f>
        <v>2.0160583941605839</v>
      </c>
      <c r="Z19" s="5">
        <f>(I19-J19)/J19</f>
        <v>1.0160583941605839</v>
      </c>
      <c r="AA19" s="2">
        <f t="shared" si="7"/>
        <v>696</v>
      </c>
    </row>
    <row r="20" spans="1:33" ht="14.75" customHeight="1" x14ac:dyDescent="0.2">
      <c r="A20" s="109" t="s">
        <v>46</v>
      </c>
      <c r="B20" s="109"/>
      <c r="C20" s="109"/>
      <c r="D20" s="109"/>
      <c r="E20" s="109"/>
      <c r="F20" s="109"/>
      <c r="G20" s="109"/>
      <c r="H20" s="2">
        <v>28365</v>
      </c>
      <c r="I20" s="2">
        <v>24999</v>
      </c>
      <c r="J20" s="2">
        <v>25411</v>
      </c>
      <c r="L20" s="5">
        <f t="shared" si="0"/>
        <v>0.15532507926425251</v>
      </c>
      <c r="M20" s="5">
        <f t="shared" si="1"/>
        <v>0.16041864524243435</v>
      </c>
      <c r="N20" s="5">
        <f t="shared" si="2"/>
        <v>0.16749499050833158</v>
      </c>
      <c r="P20" s="6">
        <f t="shared" si="9"/>
        <v>0.33091452104016705</v>
      </c>
      <c r="Q20" s="6">
        <f t="shared" si="10"/>
        <v>0.33768286258459296</v>
      </c>
      <c r="R20" s="6">
        <f t="shared" si="11"/>
        <v>0.34179377505178488</v>
      </c>
      <c r="U20" s="5">
        <f t="shared" si="5"/>
        <v>1.1346453858154326</v>
      </c>
      <c r="V20" s="5">
        <f t="shared" si="8"/>
        <v>0.13464538581543262</v>
      </c>
      <c r="W20" s="2">
        <f t="shared" si="6"/>
        <v>3366</v>
      </c>
      <c r="Y20" s="5">
        <f>I20/J20</f>
        <v>0.9837865491322656</v>
      </c>
      <c r="Z20" s="5">
        <f>(I20-J20)/J20</f>
        <v>-1.6213450867734444E-2</v>
      </c>
      <c r="AA20" s="2">
        <f t="shared" si="7"/>
        <v>-412</v>
      </c>
    </row>
    <row r="21" spans="1:33" ht="14.75" customHeight="1" x14ac:dyDescent="0.2">
      <c r="A21" s="109" t="s">
        <v>47</v>
      </c>
      <c r="B21" s="109"/>
      <c r="C21" s="109"/>
      <c r="D21" s="109"/>
      <c r="E21" s="109"/>
      <c r="F21" s="109"/>
      <c r="G21" s="109"/>
      <c r="H21" s="2">
        <v>0</v>
      </c>
      <c r="I21" s="2">
        <v>1001</v>
      </c>
      <c r="J21" s="2">
        <v>426</v>
      </c>
      <c r="L21" s="5">
        <f t="shared" si="0"/>
        <v>0</v>
      </c>
      <c r="M21" s="5">
        <f t="shared" si="1"/>
        <v>6.4234194922867631E-3</v>
      </c>
      <c r="N21" s="5">
        <f t="shared" si="2"/>
        <v>2.8079519088799829E-3</v>
      </c>
      <c r="P21" s="6">
        <f t="shared" si="9"/>
        <v>0</v>
      </c>
      <c r="Q21" s="6">
        <f t="shared" si="10"/>
        <v>1.3521362672393997E-2</v>
      </c>
      <c r="R21" s="6">
        <f t="shared" si="11"/>
        <v>5.7299652973932689E-3</v>
      </c>
      <c r="U21" s="5">
        <f t="shared" si="5"/>
        <v>0</v>
      </c>
      <c r="V21" s="5">
        <f t="shared" si="8"/>
        <v>-1</v>
      </c>
      <c r="W21" s="2">
        <f t="shared" si="6"/>
        <v>-1001</v>
      </c>
      <c r="Y21" s="5">
        <f>I21/J21</f>
        <v>2.3497652582159625</v>
      </c>
      <c r="Z21" s="5">
        <f>(I21-J21)/J21</f>
        <v>1.3497652582159625</v>
      </c>
      <c r="AA21" s="2">
        <f t="shared" si="7"/>
        <v>575</v>
      </c>
    </row>
    <row r="22" spans="1:33" ht="14.75" customHeight="1" x14ac:dyDescent="0.2">
      <c r="A22" s="109" t="s">
        <v>48</v>
      </c>
      <c r="B22" s="109"/>
      <c r="C22" s="109"/>
      <c r="D22" s="109"/>
      <c r="E22" s="109"/>
      <c r="F22" s="109"/>
      <c r="G22" s="109"/>
      <c r="H22" s="2">
        <v>1302</v>
      </c>
      <c r="I22" s="2">
        <v>1149</v>
      </c>
      <c r="J22" s="2">
        <v>885</v>
      </c>
      <c r="L22" s="5">
        <f t="shared" si="0"/>
        <v>7.1296757695066722E-3</v>
      </c>
      <c r="M22" s="5">
        <f t="shared" si="1"/>
        <v>7.3731358607767141E-3</v>
      </c>
      <c r="N22" s="5">
        <f t="shared" si="2"/>
        <v>5.8334212191520777E-3</v>
      </c>
      <c r="P22" s="6">
        <f t="shared" si="9"/>
        <v>1.5189518998565046E-2</v>
      </c>
      <c r="Q22" s="6">
        <f t="shared" si="10"/>
        <v>1.5520525185395307E-2</v>
      </c>
      <c r="R22" s="6">
        <f t="shared" si="11"/>
        <v>1.190380114599306E-2</v>
      </c>
      <c r="U22" s="5">
        <f t="shared" si="5"/>
        <v>1.133159268929504</v>
      </c>
      <c r="V22" s="5">
        <f t="shared" si="8"/>
        <v>0.13315926892950392</v>
      </c>
      <c r="W22" s="2">
        <f t="shared" si="6"/>
        <v>153</v>
      </c>
      <c r="Y22" s="5">
        <f>I22/J22</f>
        <v>1.2983050847457627</v>
      </c>
      <c r="Z22" s="5">
        <f>(I22-J22)/J22</f>
        <v>0.29830508474576273</v>
      </c>
      <c r="AA22" s="2">
        <f t="shared" si="7"/>
        <v>264</v>
      </c>
    </row>
    <row r="23" spans="1:33" ht="14.75" customHeight="1" x14ac:dyDescent="0.2">
      <c r="A23" s="109" t="s">
        <v>49</v>
      </c>
      <c r="B23" s="109"/>
      <c r="C23" s="109"/>
      <c r="D23" s="109"/>
      <c r="E23" s="109"/>
      <c r="F23" s="109"/>
      <c r="G23" s="109"/>
      <c r="H23" s="2">
        <v>862</v>
      </c>
      <c r="I23" s="2">
        <v>1181</v>
      </c>
      <c r="J23" s="2">
        <v>699</v>
      </c>
      <c r="L23" s="5">
        <f t="shared" si="0"/>
        <v>4.7202615309637113E-3</v>
      </c>
      <c r="M23" s="5">
        <f t="shared" si="1"/>
        <v>7.5784799404502168E-3</v>
      </c>
      <c r="N23" s="5">
        <f t="shared" si="2"/>
        <v>4.6074140476692685E-3</v>
      </c>
      <c r="P23" s="6">
        <f t="shared" si="9"/>
        <v>1.0056348215639837E-2</v>
      </c>
      <c r="Q23" s="6">
        <f t="shared" si="10"/>
        <v>1.5952776539557754E-2</v>
      </c>
      <c r="R23" s="6">
        <f t="shared" si="11"/>
        <v>9.4019853119199411E-3</v>
      </c>
      <c r="U23" s="5">
        <f t="shared" si="5"/>
        <v>0.72988992379339546</v>
      </c>
      <c r="V23" s="5">
        <f t="shared" si="8"/>
        <v>-0.2701100762066046</v>
      </c>
      <c r="W23" s="2">
        <f t="shared" si="6"/>
        <v>-319</v>
      </c>
      <c r="Y23" s="5">
        <f>I23/J23</f>
        <v>1.6895565092989986</v>
      </c>
      <c r="Z23" s="5">
        <f>(I23-J23)/J23</f>
        <v>0.68955650929899859</v>
      </c>
      <c r="AA23" s="2">
        <f t="shared" si="7"/>
        <v>482</v>
      </c>
    </row>
    <row r="24" spans="1:33" ht="14.75" customHeight="1" x14ac:dyDescent="0.2">
      <c r="A24" s="109" t="s">
        <v>50</v>
      </c>
      <c r="B24" s="109"/>
      <c r="C24" s="109"/>
      <c r="D24" s="109"/>
      <c r="E24" s="109"/>
      <c r="F24" s="109"/>
      <c r="G24" s="109"/>
      <c r="H24" s="2">
        <v>0</v>
      </c>
      <c r="I24" s="2">
        <v>0</v>
      </c>
      <c r="J24" s="2">
        <v>0</v>
      </c>
      <c r="L24" s="5">
        <f t="shared" si="0"/>
        <v>0</v>
      </c>
      <c r="M24" s="5">
        <f t="shared" si="1"/>
        <v>0</v>
      </c>
      <c r="N24" s="5">
        <f t="shared" si="2"/>
        <v>0</v>
      </c>
      <c r="P24" s="6">
        <f t="shared" si="9"/>
        <v>0</v>
      </c>
      <c r="Q24" s="6">
        <f t="shared" si="10"/>
        <v>0</v>
      </c>
      <c r="R24" s="6">
        <f t="shared" si="11"/>
        <v>0</v>
      </c>
      <c r="U24" s="5">
        <v>0</v>
      </c>
      <c r="V24" s="5">
        <v>0</v>
      </c>
      <c r="W24" s="2">
        <f t="shared" si="6"/>
        <v>0</v>
      </c>
      <c r="Y24" s="5">
        <v>0</v>
      </c>
      <c r="Z24" s="5">
        <v>0</v>
      </c>
      <c r="AA24" s="2">
        <f t="shared" si="7"/>
        <v>0</v>
      </c>
    </row>
    <row r="25" spans="1:33" ht="14.75" customHeight="1" x14ac:dyDescent="0.2">
      <c r="A25" s="115" t="s">
        <v>51</v>
      </c>
      <c r="B25" s="115"/>
      <c r="C25" s="115"/>
      <c r="D25" s="115"/>
      <c r="E25" s="115"/>
      <c r="F25" s="115"/>
      <c r="G25" s="115"/>
      <c r="H25" s="24">
        <v>85717</v>
      </c>
      <c r="I25" s="24">
        <v>74031</v>
      </c>
      <c r="J25" s="24">
        <v>74346</v>
      </c>
      <c r="K25" s="15"/>
      <c r="L25" s="9">
        <f t="shared" si="0"/>
        <v>0.46938127337542507</v>
      </c>
      <c r="M25" s="9">
        <f t="shared" si="1"/>
        <v>0.47505711132215922</v>
      </c>
      <c r="N25" s="9">
        <f t="shared" si="2"/>
        <v>0.49004693102720948</v>
      </c>
      <c r="O25" s="15"/>
      <c r="P25" s="15"/>
      <c r="Q25" s="15"/>
      <c r="R25" s="15"/>
      <c r="S25" s="15"/>
      <c r="T25" s="15"/>
      <c r="U25" s="9">
        <f t="shared" si="5"/>
        <v>1.157852791398198</v>
      </c>
      <c r="V25" s="9">
        <f t="shared" si="8"/>
        <v>0.15785279139819805</v>
      </c>
      <c r="W25" s="24">
        <f t="shared" si="6"/>
        <v>11686</v>
      </c>
      <c r="X25" s="15"/>
      <c r="Y25" s="9">
        <f>I25/J25</f>
        <v>0.99576305382939234</v>
      </c>
      <c r="Z25" s="9">
        <f>(I25-J25)/J25</f>
        <v>-4.2369461706076991E-3</v>
      </c>
      <c r="AA25" s="24">
        <f t="shared" si="7"/>
        <v>-315</v>
      </c>
    </row>
    <row r="26" spans="1:33" ht="14.75" customHeight="1" x14ac:dyDescent="0.2">
      <c r="A26" s="126" t="s">
        <v>52</v>
      </c>
      <c r="B26" s="126"/>
      <c r="C26" s="126"/>
      <c r="D26" s="126"/>
      <c r="E26" s="126"/>
      <c r="F26" s="126"/>
      <c r="G26" s="126"/>
      <c r="H26" s="75">
        <v>182617</v>
      </c>
      <c r="I26" s="75">
        <v>155836</v>
      </c>
      <c r="J26" s="75">
        <v>151712</v>
      </c>
      <c r="K26" s="76"/>
      <c r="L26" s="76"/>
      <c r="M26" s="76"/>
      <c r="N26" s="76"/>
      <c r="O26" s="76"/>
      <c r="P26" s="127" t="s">
        <v>151</v>
      </c>
      <c r="Q26" s="127"/>
      <c r="R26" s="127"/>
      <c r="S26" s="26"/>
      <c r="T26" s="26"/>
      <c r="U26" s="77">
        <f t="shared" si="5"/>
        <v>1.1718537436792527</v>
      </c>
      <c r="V26" s="77">
        <f t="shared" si="8"/>
        <v>0.17185374367925255</v>
      </c>
      <c r="W26" s="75">
        <f t="shared" si="6"/>
        <v>26781</v>
      </c>
      <c r="X26" s="76"/>
      <c r="Y26" s="77">
        <f>I26/J26</f>
        <v>1.0271830837376081</v>
      </c>
      <c r="Z26" s="77">
        <f>(I26-J26)/J26</f>
        <v>2.71830837376081E-2</v>
      </c>
      <c r="AA26" s="75">
        <f t="shared" si="7"/>
        <v>4124</v>
      </c>
    </row>
    <row r="27" spans="1:33" ht="14.75" customHeight="1" x14ac:dyDescent="0.2"/>
    <row r="28" spans="1:33" ht="14.75" customHeight="1" x14ac:dyDescent="0.2">
      <c r="D28" s="128" t="s">
        <v>152</v>
      </c>
      <c r="E28" s="128"/>
      <c r="F28" s="128"/>
      <c r="G28" s="128"/>
      <c r="H28" s="90">
        <f>H4/H25</f>
        <v>1.1304642019669378</v>
      </c>
      <c r="I28" s="90">
        <f t="shared" ref="I28:J28" si="12">I4/I25</f>
        <v>1.1050100633518392</v>
      </c>
      <c r="J28" s="90">
        <f t="shared" si="12"/>
        <v>1.0406208807467785</v>
      </c>
      <c r="L28" s="114" t="s">
        <v>153</v>
      </c>
      <c r="M28" s="114"/>
      <c r="N28" s="114"/>
      <c r="O28" s="114"/>
    </row>
    <row r="29" spans="1:33" ht="14.75" customHeight="1" x14ac:dyDescent="0.2">
      <c r="D29" s="129" t="s">
        <v>154</v>
      </c>
      <c r="E29" s="129"/>
      <c r="F29" s="129"/>
      <c r="G29" s="129"/>
      <c r="H29" s="91">
        <f>H25/H4</f>
        <v>0.88459236326109392</v>
      </c>
      <c r="I29" s="91">
        <f t="shared" ref="I29:J29" si="13">I25/I4</f>
        <v>0.90496913391601985</v>
      </c>
      <c r="J29" s="91">
        <f t="shared" si="13"/>
        <v>0.96096476488379912</v>
      </c>
      <c r="L29" s="114"/>
      <c r="M29" s="114"/>
      <c r="N29" s="114"/>
      <c r="O29" s="114"/>
    </row>
    <row r="30" spans="1:33" ht="14.75" customHeight="1" x14ac:dyDescent="0.2">
      <c r="D30" s="125" t="s">
        <v>155</v>
      </c>
      <c r="E30" s="125"/>
      <c r="F30" s="125"/>
      <c r="G30" s="125"/>
      <c r="H30" s="92">
        <f>H4/H25</f>
        <v>1.1304642019669378</v>
      </c>
      <c r="I30" s="92">
        <f t="shared" ref="I30:J30" si="14">I4/I25</f>
        <v>1.1050100633518392</v>
      </c>
      <c r="J30" s="92">
        <f t="shared" si="14"/>
        <v>1.0406208807467785</v>
      </c>
      <c r="L30" s="114"/>
      <c r="M30" s="114"/>
      <c r="N30" s="114"/>
      <c r="O30" s="114"/>
    </row>
    <row r="31" spans="1:33" x14ac:dyDescent="0.2">
      <c r="L31" s="114"/>
      <c r="M31" s="114"/>
      <c r="N31" s="114"/>
      <c r="O31" s="114"/>
    </row>
    <row r="32" spans="1:33" ht="118.5" customHeight="1" x14ac:dyDescent="0.2">
      <c r="L32" s="114"/>
      <c r="M32" s="114"/>
      <c r="N32" s="114"/>
      <c r="O32" s="114"/>
      <c r="U32" s="114" t="s">
        <v>156</v>
      </c>
      <c r="V32" s="114"/>
      <c r="W32" s="114"/>
      <c r="X32" s="114"/>
      <c r="Y32" s="114"/>
      <c r="Z32" s="114"/>
      <c r="AA32" s="114"/>
    </row>
    <row r="33" spans="12:15" x14ac:dyDescent="0.2">
      <c r="L33" s="114"/>
      <c r="M33" s="114"/>
      <c r="N33" s="114"/>
      <c r="O33" s="114"/>
    </row>
    <row r="34" spans="12:15" ht="14.75" customHeight="1" x14ac:dyDescent="0.2">
      <c r="L34" s="114"/>
      <c r="M34" s="114"/>
      <c r="N34" s="114"/>
      <c r="O34" s="114"/>
    </row>
    <row r="35" spans="12:15" ht="14.75" customHeight="1" x14ac:dyDescent="0.2">
      <c r="L35" s="114"/>
      <c r="M35" s="114"/>
      <c r="N35" s="114"/>
      <c r="O35" s="114"/>
    </row>
    <row r="36" spans="12:15" ht="14.75" customHeight="1" x14ac:dyDescent="0.2">
      <c r="L36" s="114"/>
      <c r="M36" s="114"/>
      <c r="N36" s="114"/>
      <c r="O36" s="114"/>
    </row>
    <row r="37" spans="12:15" x14ac:dyDescent="0.2">
      <c r="L37" s="114"/>
      <c r="M37" s="114"/>
      <c r="N37" s="114"/>
      <c r="O37" s="114"/>
    </row>
    <row r="38" spans="12:15" ht="14.75" customHeight="1" x14ac:dyDescent="0.2">
      <c r="L38" s="114"/>
      <c r="M38" s="114"/>
      <c r="N38" s="114"/>
      <c r="O38" s="114"/>
    </row>
    <row r="39" spans="12:15" ht="14.75" customHeight="1" x14ac:dyDescent="0.2">
      <c r="L39" s="80"/>
      <c r="M39" s="80"/>
      <c r="N39" s="80"/>
      <c r="O39" s="80"/>
    </row>
    <row r="40" spans="12:15" x14ac:dyDescent="0.2">
      <c r="L40" s="80"/>
      <c r="M40" s="80"/>
      <c r="N40" s="80"/>
      <c r="O40" s="80"/>
    </row>
    <row r="41" spans="12:15" ht="14.75" customHeight="1" x14ac:dyDescent="0.2">
      <c r="L41" s="80"/>
      <c r="M41" s="80"/>
      <c r="N41" s="80"/>
      <c r="O41" s="80"/>
    </row>
    <row r="42" spans="12:15" x14ac:dyDescent="0.2">
      <c r="L42" s="80"/>
      <c r="M42" s="80"/>
      <c r="N42" s="80"/>
      <c r="O42" s="80"/>
    </row>
    <row r="43" spans="12:15" x14ac:dyDescent="0.2">
      <c r="L43" s="80"/>
      <c r="M43" s="80"/>
      <c r="N43" s="80"/>
      <c r="O43" s="80"/>
    </row>
    <row r="44" spans="12:15" x14ac:dyDescent="0.2">
      <c r="L44" s="80"/>
      <c r="M44" s="80"/>
      <c r="N44" s="80"/>
      <c r="O44" s="80"/>
    </row>
  </sheetData>
  <mergeCells count="41">
    <mergeCell ref="AI11:AS12"/>
    <mergeCell ref="AI13:AS14"/>
    <mergeCell ref="AI15:AS16"/>
    <mergeCell ref="AI5:AO6"/>
    <mergeCell ref="AI7:AO8"/>
    <mergeCell ref="AI9:AS10"/>
    <mergeCell ref="AD5:AD6"/>
    <mergeCell ref="L28:O38"/>
    <mergeCell ref="D30:G30"/>
    <mergeCell ref="U3:W3"/>
    <mergeCell ref="Y3:AA3"/>
    <mergeCell ref="P26:R26"/>
    <mergeCell ref="D28:G28"/>
    <mergeCell ref="D29:G29"/>
    <mergeCell ref="A26:G26"/>
    <mergeCell ref="A25:G25"/>
    <mergeCell ref="A24:G24"/>
    <mergeCell ref="A23:G23"/>
    <mergeCell ref="A22:G22"/>
    <mergeCell ref="A21:G21"/>
    <mergeCell ref="A20:G20"/>
    <mergeCell ref="A19:G19"/>
    <mergeCell ref="U32:AA32"/>
    <mergeCell ref="A7:G7"/>
    <mergeCell ref="A6:G6"/>
    <mergeCell ref="A5:G5"/>
    <mergeCell ref="A4:G4"/>
    <mergeCell ref="A12:G12"/>
    <mergeCell ref="A11:G11"/>
    <mergeCell ref="A10:G10"/>
    <mergeCell ref="A9:G9"/>
    <mergeCell ref="A8:G8"/>
    <mergeCell ref="A17:G17"/>
    <mergeCell ref="A16:G16"/>
    <mergeCell ref="P2:R2"/>
    <mergeCell ref="A18:G18"/>
    <mergeCell ref="A15:G15"/>
    <mergeCell ref="A14:G14"/>
    <mergeCell ref="A13:G13"/>
    <mergeCell ref="L2:N2"/>
    <mergeCell ref="A3:G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82383-8A7C-445D-82A1-233ACEF31B37}">
  <dimension ref="A2:V49"/>
  <sheetViews>
    <sheetView topLeftCell="H1" zoomScale="90" zoomScaleNormal="90" workbookViewId="0">
      <selection activeCell="R3" sqref="R3:U5"/>
    </sheetView>
  </sheetViews>
  <sheetFormatPr baseColWidth="10" defaultColWidth="8.6640625" defaultRowHeight="15" x14ac:dyDescent="0.2"/>
  <cols>
    <col min="8" max="10" width="15.6640625" customWidth="1"/>
    <col min="11" max="11" width="11.6640625" bestFit="1" customWidth="1"/>
    <col min="12" max="13" width="9" customWidth="1"/>
    <col min="14" max="16" width="14" customWidth="1"/>
    <col min="19" max="20" width="22.6640625" customWidth="1"/>
    <col min="21" max="21" width="28.33203125" customWidth="1"/>
  </cols>
  <sheetData>
    <row r="2" spans="1:21" ht="15.75" customHeight="1" x14ac:dyDescent="0.2">
      <c r="A2" s="126" t="s">
        <v>157</v>
      </c>
      <c r="B2" s="126"/>
      <c r="C2" s="126"/>
      <c r="D2" s="126"/>
      <c r="E2" s="126"/>
      <c r="F2" s="126"/>
      <c r="G2" s="126"/>
      <c r="H2" s="55">
        <v>2021</v>
      </c>
      <c r="I2" s="55">
        <v>2020</v>
      </c>
      <c r="J2" s="55">
        <v>2019</v>
      </c>
      <c r="N2" s="133" t="s">
        <v>158</v>
      </c>
      <c r="O2" s="133"/>
      <c r="P2" s="133"/>
    </row>
    <row r="3" spans="1:21" ht="15" customHeight="1" x14ac:dyDescent="0.2">
      <c r="N3" s="133"/>
      <c r="O3" s="133"/>
      <c r="P3" s="133"/>
      <c r="Q3" s="69"/>
      <c r="R3" s="114" t="s">
        <v>159</v>
      </c>
      <c r="S3" s="114"/>
      <c r="T3" s="114"/>
      <c r="U3" s="114"/>
    </row>
    <row r="4" spans="1:21" x14ac:dyDescent="0.2">
      <c r="A4" s="131" t="s">
        <v>9</v>
      </c>
      <c r="B4" s="131"/>
      <c r="C4" s="131"/>
      <c r="D4" s="131"/>
      <c r="E4" s="131"/>
      <c r="F4" s="131"/>
      <c r="G4" s="131"/>
      <c r="H4" s="71"/>
      <c r="I4" s="71"/>
      <c r="J4" s="71"/>
      <c r="N4" s="73">
        <v>2021</v>
      </c>
      <c r="O4" s="73">
        <v>2020</v>
      </c>
      <c r="P4" s="73">
        <v>2019</v>
      </c>
      <c r="Q4" s="33"/>
      <c r="R4" s="114"/>
      <c r="S4" s="114"/>
      <c r="T4" s="114"/>
      <c r="U4" s="114"/>
    </row>
    <row r="5" spans="1:21" x14ac:dyDescent="0.2">
      <c r="A5" s="116" t="s">
        <v>10</v>
      </c>
      <c r="B5" s="116"/>
      <c r="C5" s="116"/>
      <c r="D5" s="116"/>
      <c r="E5" s="116"/>
      <c r="F5" s="116"/>
      <c r="G5" s="116"/>
      <c r="H5" s="98">
        <v>118828</v>
      </c>
      <c r="I5" s="98">
        <v>116891</v>
      </c>
      <c r="J5" s="98">
        <v>113267</v>
      </c>
      <c r="M5" s="33"/>
      <c r="N5" s="54">
        <f>H27/H5</f>
        <v>0.81546436866731742</v>
      </c>
      <c r="O5" s="54">
        <f t="shared" ref="O5:P5" si="0">I27/I5</f>
        <v>0.69984002190074512</v>
      </c>
      <c r="P5" s="54">
        <f t="shared" si="0"/>
        <v>0.68304095632443695</v>
      </c>
      <c r="Q5" s="33"/>
      <c r="R5" s="114"/>
      <c r="S5" s="114"/>
      <c r="T5" s="114"/>
      <c r="U5" s="114"/>
    </row>
    <row r="6" spans="1:21" x14ac:dyDescent="0.2">
      <c r="A6" s="109" t="s">
        <v>11</v>
      </c>
      <c r="B6" s="109"/>
      <c r="C6" s="109"/>
      <c r="D6" s="109"/>
      <c r="E6" s="109"/>
      <c r="F6" s="109"/>
      <c r="G6" s="109"/>
      <c r="H6" s="99">
        <v>79465</v>
      </c>
      <c r="I6" s="99">
        <v>78249</v>
      </c>
      <c r="J6" s="99">
        <v>73444</v>
      </c>
      <c r="M6" s="33"/>
      <c r="N6" s="33"/>
      <c r="O6" s="33"/>
      <c r="P6" s="33"/>
      <c r="Q6" s="33"/>
      <c r="R6" s="33"/>
    </row>
    <row r="7" spans="1:21" x14ac:dyDescent="0.2">
      <c r="A7" s="109" t="s">
        <v>12</v>
      </c>
      <c r="B7" s="109"/>
      <c r="C7" s="109"/>
      <c r="D7" s="109"/>
      <c r="E7" s="109"/>
      <c r="F7" s="109"/>
      <c r="G7" s="109"/>
      <c r="H7" s="99">
        <v>3291</v>
      </c>
      <c r="I7" s="99">
        <v>2524</v>
      </c>
      <c r="J7" s="99">
        <v>4091</v>
      </c>
      <c r="M7" s="33"/>
      <c r="N7" s="135" t="s">
        <v>160</v>
      </c>
      <c r="O7" s="136"/>
      <c r="P7" s="136"/>
      <c r="Q7" s="33"/>
      <c r="R7" s="33"/>
    </row>
    <row r="8" spans="1:21" ht="21" x14ac:dyDescent="0.25">
      <c r="A8" s="109" t="s">
        <v>13</v>
      </c>
      <c r="B8" s="109"/>
      <c r="C8" s="109"/>
      <c r="D8" s="109"/>
      <c r="E8" s="109"/>
      <c r="F8" s="109"/>
      <c r="G8" s="109"/>
      <c r="H8" s="99">
        <v>603</v>
      </c>
      <c r="I8" s="99">
        <v>603</v>
      </c>
      <c r="J8" s="99">
        <v>603</v>
      </c>
      <c r="M8" s="33"/>
      <c r="N8" s="136"/>
      <c r="O8" s="136"/>
      <c r="P8" s="136"/>
      <c r="Q8" s="68" t="s">
        <v>161</v>
      </c>
      <c r="R8" s="68" t="s">
        <v>161</v>
      </c>
    </row>
    <row r="9" spans="1:21" x14ac:dyDescent="0.2">
      <c r="A9" s="109" t="s">
        <v>14</v>
      </c>
      <c r="B9" s="109"/>
      <c r="C9" s="109"/>
      <c r="D9" s="109"/>
      <c r="E9" s="109"/>
      <c r="F9" s="109"/>
      <c r="G9" s="109"/>
      <c r="H9" s="99">
        <v>0</v>
      </c>
      <c r="I9" s="99">
        <v>0</v>
      </c>
      <c r="J9" s="99">
        <v>0</v>
      </c>
      <c r="M9" s="33"/>
      <c r="N9" s="73">
        <v>2021</v>
      </c>
      <c r="O9" s="73">
        <v>2020</v>
      </c>
      <c r="P9" s="73">
        <v>2019</v>
      </c>
      <c r="Q9" s="33"/>
      <c r="R9" s="46"/>
    </row>
    <row r="10" spans="1:21" x14ac:dyDescent="0.2">
      <c r="A10" s="109" t="s">
        <v>15</v>
      </c>
      <c r="B10" s="109"/>
      <c r="C10" s="109"/>
      <c r="D10" s="109"/>
      <c r="E10" s="109"/>
      <c r="F10" s="109"/>
      <c r="G10" s="109"/>
      <c r="H10" s="99">
        <v>5325</v>
      </c>
      <c r="I10" s="99">
        <v>5390</v>
      </c>
      <c r="J10" s="99">
        <v>4944</v>
      </c>
      <c r="M10" s="33"/>
      <c r="N10" s="106">
        <f>H32+H27+H33</f>
        <v>141962</v>
      </c>
      <c r="O10" s="106">
        <f t="shared" ref="O10:P10" si="1">I32+I27+I33</f>
        <v>117363</v>
      </c>
      <c r="P10" s="106">
        <f t="shared" si="1"/>
        <v>115065</v>
      </c>
      <c r="Q10" s="33"/>
      <c r="R10" s="33"/>
    </row>
    <row r="11" spans="1:21" x14ac:dyDescent="0.2">
      <c r="A11" s="109" t="s">
        <v>16</v>
      </c>
      <c r="B11" s="109"/>
      <c r="C11" s="109"/>
      <c r="D11" s="109"/>
      <c r="E11" s="109"/>
      <c r="F11" s="109"/>
      <c r="G11" s="109"/>
      <c r="H11" s="99">
        <v>30080</v>
      </c>
      <c r="I11" s="99">
        <v>30080</v>
      </c>
      <c r="J11" s="99">
        <v>30080</v>
      </c>
      <c r="M11" s="33"/>
      <c r="N11" s="33"/>
      <c r="O11" s="33"/>
      <c r="P11" s="33"/>
      <c r="Q11" s="33"/>
      <c r="R11" s="33"/>
    </row>
    <row r="12" spans="1:21" x14ac:dyDescent="0.2">
      <c r="A12" s="109" t="s">
        <v>17</v>
      </c>
      <c r="B12" s="109"/>
      <c r="C12" s="109"/>
      <c r="D12" s="109"/>
      <c r="E12" s="109"/>
      <c r="F12" s="109"/>
      <c r="G12" s="109"/>
      <c r="H12" s="99">
        <v>30080</v>
      </c>
      <c r="I12" s="99">
        <v>30080</v>
      </c>
      <c r="J12" s="99">
        <v>30080</v>
      </c>
      <c r="L12" s="132" t="s">
        <v>162</v>
      </c>
      <c r="M12" s="132"/>
      <c r="N12" s="134" t="s">
        <v>163</v>
      </c>
      <c r="O12" s="134"/>
      <c r="P12" s="134"/>
      <c r="Q12" s="33"/>
      <c r="R12" s="114" t="s">
        <v>164</v>
      </c>
      <c r="S12" s="114"/>
      <c r="T12" s="114"/>
      <c r="U12" s="114"/>
    </row>
    <row r="13" spans="1:21" ht="15" customHeight="1" x14ac:dyDescent="0.2">
      <c r="A13" s="109" t="s">
        <v>18</v>
      </c>
      <c r="B13" s="109"/>
      <c r="C13" s="109"/>
      <c r="D13" s="109"/>
      <c r="E13" s="109"/>
      <c r="F13" s="109"/>
      <c r="G13" s="109"/>
      <c r="H13" s="99">
        <v>0</v>
      </c>
      <c r="I13" s="99">
        <v>0</v>
      </c>
      <c r="J13" s="99">
        <v>0</v>
      </c>
      <c r="L13" s="132"/>
      <c r="M13" s="132"/>
      <c r="N13" s="134"/>
      <c r="O13" s="134"/>
      <c r="P13" s="134"/>
      <c r="Q13" s="70"/>
      <c r="R13" s="114"/>
      <c r="S13" s="114"/>
      <c r="T13" s="114"/>
      <c r="U13" s="114"/>
    </row>
    <row r="14" spans="1:21" x14ac:dyDescent="0.2">
      <c r="A14" s="109" t="s">
        <v>19</v>
      </c>
      <c r="B14" s="109"/>
      <c r="C14" s="109"/>
      <c r="D14" s="109"/>
      <c r="E14" s="109"/>
      <c r="F14" s="109"/>
      <c r="G14" s="109"/>
      <c r="H14" s="99">
        <v>0</v>
      </c>
      <c r="I14" s="99">
        <v>0</v>
      </c>
      <c r="J14" s="99">
        <v>0</v>
      </c>
      <c r="M14" s="33"/>
      <c r="N14" s="73">
        <v>2021</v>
      </c>
      <c r="O14" s="73">
        <v>2020</v>
      </c>
      <c r="P14" s="73">
        <v>2019</v>
      </c>
      <c r="Q14" s="33"/>
      <c r="R14" s="114"/>
      <c r="S14" s="114"/>
      <c r="T14" s="114"/>
      <c r="U14" s="114"/>
    </row>
    <row r="15" spans="1:21" x14ac:dyDescent="0.2">
      <c r="A15" s="109" t="s">
        <v>20</v>
      </c>
      <c r="B15" s="109"/>
      <c r="C15" s="109"/>
      <c r="D15" s="109"/>
      <c r="E15" s="109"/>
      <c r="F15" s="109"/>
      <c r="G15" s="109"/>
      <c r="H15" s="99">
        <v>64</v>
      </c>
      <c r="I15" s="99">
        <v>45</v>
      </c>
      <c r="J15" s="99">
        <v>105</v>
      </c>
      <c r="M15" s="33"/>
      <c r="N15" s="54">
        <f>N10/H5</f>
        <v>1.1946847544349817</v>
      </c>
      <c r="O15" s="54">
        <f t="shared" ref="O15:P15" si="2">O10/I5</f>
        <v>1.0040379498849354</v>
      </c>
      <c r="P15" s="54">
        <f t="shared" si="2"/>
        <v>1.0158739968393264</v>
      </c>
      <c r="Q15" s="33"/>
      <c r="R15" s="114"/>
      <c r="S15" s="114"/>
      <c r="T15" s="114"/>
      <c r="U15" s="114"/>
    </row>
    <row r="16" spans="1:21" x14ac:dyDescent="0.2">
      <c r="A16" s="116" t="s">
        <v>21</v>
      </c>
      <c r="B16" s="116"/>
      <c r="C16" s="116"/>
      <c r="D16" s="116"/>
      <c r="E16" s="116"/>
      <c r="F16" s="116"/>
      <c r="G16" s="116"/>
      <c r="H16" s="98">
        <v>63789</v>
      </c>
      <c r="I16" s="98">
        <v>38945</v>
      </c>
      <c r="J16" s="98">
        <v>38445</v>
      </c>
      <c r="M16" s="33"/>
      <c r="N16" s="33"/>
      <c r="O16" s="33"/>
      <c r="P16" s="33"/>
      <c r="Q16" s="33"/>
      <c r="R16" s="33"/>
    </row>
    <row r="17" spans="1:22" ht="23.25" customHeight="1" x14ac:dyDescent="0.2">
      <c r="A17" s="109" t="s">
        <v>22</v>
      </c>
      <c r="B17" s="109"/>
      <c r="C17" s="109"/>
      <c r="D17" s="109"/>
      <c r="E17" s="109"/>
      <c r="F17" s="109"/>
      <c r="G17" s="109"/>
      <c r="H17" s="99">
        <v>13408</v>
      </c>
      <c r="I17" s="99">
        <v>15046</v>
      </c>
      <c r="J17" s="99">
        <v>10655</v>
      </c>
      <c r="M17" s="33"/>
      <c r="N17" s="133" t="s">
        <v>165</v>
      </c>
      <c r="O17" s="133"/>
      <c r="P17" s="133"/>
      <c r="Q17" s="33"/>
      <c r="R17" s="114" t="s">
        <v>166</v>
      </c>
      <c r="S17" s="114"/>
      <c r="T17" s="114"/>
      <c r="U17" s="114"/>
    </row>
    <row r="18" spans="1:22" ht="23.25" customHeight="1" x14ac:dyDescent="0.2">
      <c r="A18" s="109" t="s">
        <v>23</v>
      </c>
      <c r="B18" s="109"/>
      <c r="C18" s="109"/>
      <c r="D18" s="109"/>
      <c r="E18" s="109"/>
      <c r="F18" s="109"/>
      <c r="G18" s="109"/>
      <c r="H18" s="99">
        <v>21446</v>
      </c>
      <c r="I18" s="99">
        <v>21273</v>
      </c>
      <c r="J18" s="99">
        <v>24825</v>
      </c>
      <c r="M18" s="33"/>
      <c r="N18" s="133"/>
      <c r="O18" s="133"/>
      <c r="P18" s="133"/>
      <c r="Q18" s="69"/>
      <c r="R18" s="114"/>
      <c r="S18" s="114"/>
      <c r="T18" s="114"/>
      <c r="U18" s="114"/>
    </row>
    <row r="19" spans="1:22" x14ac:dyDescent="0.2">
      <c r="A19" s="109" t="s">
        <v>24</v>
      </c>
      <c r="B19" s="109"/>
      <c r="C19" s="109"/>
      <c r="D19" s="109"/>
      <c r="E19" s="109"/>
      <c r="F19" s="109"/>
      <c r="G19" s="109"/>
      <c r="H19" s="99">
        <v>554</v>
      </c>
      <c r="I19" s="99">
        <v>0</v>
      </c>
      <c r="J19" s="99">
        <v>0</v>
      </c>
      <c r="M19" s="33"/>
      <c r="N19" s="73">
        <v>2021</v>
      </c>
      <c r="O19" s="73">
        <v>2020</v>
      </c>
      <c r="P19" s="73">
        <v>2019</v>
      </c>
      <c r="Q19" s="33"/>
      <c r="R19" s="46"/>
    </row>
    <row r="20" spans="1:22" x14ac:dyDescent="0.2">
      <c r="A20" s="109" t="s">
        <v>18</v>
      </c>
      <c r="B20" s="109"/>
      <c r="C20" s="109"/>
      <c r="D20" s="109"/>
      <c r="E20" s="109"/>
      <c r="F20" s="109"/>
      <c r="G20" s="109"/>
      <c r="H20" s="99">
        <v>2003</v>
      </c>
      <c r="I20" s="99">
        <v>2006</v>
      </c>
      <c r="J20" s="99">
        <v>2006</v>
      </c>
      <c r="M20" s="33"/>
      <c r="N20" s="54">
        <f>H39/H16</f>
        <v>0.68538462744360318</v>
      </c>
      <c r="O20" s="54">
        <f t="shared" ref="O20:P20" si="3">I39/I16</f>
        <v>1.0634227757093337</v>
      </c>
      <c r="P20" s="54">
        <f t="shared" si="3"/>
        <v>1.0377682403433477</v>
      </c>
      <c r="Q20" s="33"/>
      <c r="R20" s="33"/>
    </row>
    <row r="21" spans="1:22" x14ac:dyDescent="0.2">
      <c r="A21" s="109" t="s">
        <v>25</v>
      </c>
      <c r="B21" s="109"/>
      <c r="C21" s="109"/>
      <c r="D21" s="109"/>
      <c r="E21" s="109"/>
      <c r="F21" s="109"/>
      <c r="G21" s="109"/>
      <c r="H21" s="99">
        <v>26121</v>
      </c>
      <c r="I21" s="99">
        <v>374</v>
      </c>
      <c r="J21" s="99">
        <v>701</v>
      </c>
      <c r="M21" s="33"/>
      <c r="N21" s="33"/>
      <c r="O21" s="33"/>
      <c r="P21" s="33"/>
      <c r="Q21" s="33"/>
      <c r="R21" s="33"/>
    </row>
    <row r="22" spans="1:22" x14ac:dyDescent="0.2">
      <c r="A22" s="109" t="s">
        <v>26</v>
      </c>
      <c r="B22" s="109"/>
      <c r="C22" s="109"/>
      <c r="D22" s="109"/>
      <c r="E22" s="109"/>
      <c r="F22" s="109"/>
      <c r="G22" s="109"/>
      <c r="H22" s="99">
        <v>257</v>
      </c>
      <c r="I22" s="99">
        <v>246</v>
      </c>
      <c r="J22" s="99">
        <v>258</v>
      </c>
      <c r="M22" s="33"/>
      <c r="N22" s="133" t="s">
        <v>167</v>
      </c>
      <c r="O22" s="133"/>
      <c r="P22" s="133"/>
      <c r="Q22" s="33"/>
      <c r="R22" s="33"/>
      <c r="S22" s="139" t="s">
        <v>168</v>
      </c>
      <c r="T22" s="139"/>
      <c r="U22" s="139"/>
    </row>
    <row r="23" spans="1:22" ht="21" x14ac:dyDescent="0.25">
      <c r="A23" s="109" t="s">
        <v>27</v>
      </c>
      <c r="B23" s="109"/>
      <c r="C23" s="109"/>
      <c r="D23" s="109"/>
      <c r="E23" s="109"/>
      <c r="F23" s="109"/>
      <c r="G23" s="109"/>
      <c r="H23" s="99">
        <v>0</v>
      </c>
      <c r="I23" s="99">
        <v>0</v>
      </c>
      <c r="J23" s="99">
        <v>0</v>
      </c>
      <c r="M23" s="33"/>
      <c r="N23" s="133"/>
      <c r="O23" s="133"/>
      <c r="P23" s="133"/>
      <c r="Q23" s="68" t="s">
        <v>161</v>
      </c>
      <c r="R23" s="68" t="s">
        <v>161</v>
      </c>
      <c r="S23" s="15" t="s">
        <v>169</v>
      </c>
      <c r="T23" s="15"/>
      <c r="U23" s="15" t="s">
        <v>170</v>
      </c>
    </row>
    <row r="24" spans="1:22" x14ac:dyDescent="0.2">
      <c r="A24" s="115" t="s">
        <v>28</v>
      </c>
      <c r="B24" s="115"/>
      <c r="C24" s="115"/>
      <c r="D24" s="115"/>
      <c r="E24" s="115"/>
      <c r="F24" s="115"/>
      <c r="G24" s="115"/>
      <c r="H24" s="100">
        <v>182617</v>
      </c>
      <c r="I24" s="100">
        <v>155836</v>
      </c>
      <c r="J24" s="100">
        <v>151712</v>
      </c>
      <c r="M24" s="33"/>
      <c r="N24" s="73">
        <v>2021</v>
      </c>
      <c r="O24" s="73">
        <v>2020</v>
      </c>
      <c r="P24" s="73">
        <v>2019</v>
      </c>
      <c r="Q24" s="33"/>
      <c r="R24" s="46"/>
      <c r="S24" s="83" t="s">
        <v>171</v>
      </c>
      <c r="T24" s="84"/>
      <c r="U24" s="141" t="s">
        <v>160</v>
      </c>
    </row>
    <row r="25" spans="1:22" x14ac:dyDescent="0.2">
      <c r="A25" s="138"/>
      <c r="B25" s="138"/>
      <c r="C25" s="138"/>
      <c r="D25" s="138"/>
      <c r="E25" s="138"/>
      <c r="F25" s="138"/>
      <c r="G25" s="138"/>
      <c r="H25" s="101"/>
      <c r="I25" s="101"/>
      <c r="J25" s="101"/>
      <c r="M25" s="33"/>
      <c r="N25" s="106">
        <f>N10-H5</f>
        <v>23134</v>
      </c>
      <c r="O25" s="106">
        <f t="shared" ref="O25:P25" si="4">O10-I5</f>
        <v>472</v>
      </c>
      <c r="P25" s="106">
        <f t="shared" si="4"/>
        <v>1798</v>
      </c>
      <c r="Q25" s="33"/>
      <c r="R25" s="33"/>
      <c r="S25" s="140" t="s">
        <v>172</v>
      </c>
      <c r="T25" s="85" t="s">
        <v>173</v>
      </c>
      <c r="U25" s="142"/>
    </row>
    <row r="26" spans="1:22" x14ac:dyDescent="0.2">
      <c r="A26" s="137" t="s">
        <v>29</v>
      </c>
      <c r="B26" s="137"/>
      <c r="C26" s="137"/>
      <c r="D26" s="137"/>
      <c r="E26" s="137"/>
      <c r="F26" s="137"/>
      <c r="G26" s="137"/>
      <c r="H26" s="102"/>
      <c r="I26" s="102"/>
      <c r="J26" s="102"/>
      <c r="S26" s="140"/>
      <c r="T26" s="84"/>
      <c r="U26" s="84" t="s">
        <v>174</v>
      </c>
    </row>
    <row r="27" spans="1:22" x14ac:dyDescent="0.2">
      <c r="A27" s="115" t="s">
        <v>30</v>
      </c>
      <c r="B27" s="115"/>
      <c r="C27" s="115"/>
      <c r="D27" s="115"/>
      <c r="E27" s="115"/>
      <c r="F27" s="115"/>
      <c r="G27" s="115"/>
      <c r="H27" s="103">
        <v>96900</v>
      </c>
      <c r="I27" s="103">
        <v>81805</v>
      </c>
      <c r="J27" s="103">
        <v>77366</v>
      </c>
    </row>
    <row r="28" spans="1:22" x14ac:dyDescent="0.2">
      <c r="A28" s="120" t="s">
        <v>31</v>
      </c>
      <c r="B28" s="120"/>
      <c r="C28" s="120"/>
      <c r="D28" s="120"/>
      <c r="E28" s="120"/>
      <c r="F28" s="120"/>
      <c r="G28" s="120"/>
      <c r="H28" s="99">
        <v>27750</v>
      </c>
      <c r="I28" s="99">
        <v>27750</v>
      </c>
      <c r="J28" s="99">
        <v>27750</v>
      </c>
    </row>
    <row r="29" spans="1:22" x14ac:dyDescent="0.2">
      <c r="A29" s="109" t="s">
        <v>32</v>
      </c>
      <c r="B29" s="109"/>
      <c r="C29" s="109"/>
      <c r="D29" s="109"/>
      <c r="E29" s="109"/>
      <c r="F29" s="109"/>
      <c r="G29" s="109"/>
      <c r="H29" s="99">
        <v>39228</v>
      </c>
      <c r="I29" s="99">
        <v>35303</v>
      </c>
      <c r="J29" s="99">
        <v>32362</v>
      </c>
      <c r="T29" s="114" t="s">
        <v>175</v>
      </c>
      <c r="U29" s="114"/>
      <c r="V29" s="114"/>
    </row>
    <row r="30" spans="1:22" x14ac:dyDescent="0.2">
      <c r="A30" s="120" t="s">
        <v>33</v>
      </c>
      <c r="B30" s="120"/>
      <c r="C30" s="120"/>
      <c r="D30" s="120"/>
      <c r="E30" s="120"/>
      <c r="F30" s="120"/>
      <c r="G30" s="120"/>
      <c r="H30" s="99">
        <v>24888</v>
      </c>
      <c r="I30" s="99">
        <v>12000</v>
      </c>
      <c r="J30" s="99">
        <v>12000</v>
      </c>
      <c r="T30" s="114"/>
      <c r="U30" s="114"/>
      <c r="V30" s="114"/>
    </row>
    <row r="31" spans="1:22" x14ac:dyDescent="0.2">
      <c r="A31" s="109" t="s">
        <v>34</v>
      </c>
      <c r="B31" s="109"/>
      <c r="C31" s="109"/>
      <c r="D31" s="109"/>
      <c r="E31" s="109"/>
      <c r="F31" s="109"/>
      <c r="G31" s="109"/>
      <c r="H31" s="99">
        <v>5034</v>
      </c>
      <c r="I31" s="99">
        <v>6752</v>
      </c>
      <c r="J31" s="99">
        <v>5586</v>
      </c>
      <c r="T31" s="114"/>
      <c r="U31" s="114"/>
      <c r="V31" s="114"/>
    </row>
    <row r="32" spans="1:22" x14ac:dyDescent="0.2">
      <c r="A32" s="123" t="s">
        <v>35</v>
      </c>
      <c r="B32" s="123"/>
      <c r="C32" s="123"/>
      <c r="D32" s="123"/>
      <c r="E32" s="123"/>
      <c r="F32" s="123"/>
      <c r="G32" s="123"/>
      <c r="H32" s="104">
        <v>41997</v>
      </c>
      <c r="I32" s="104">
        <v>32616</v>
      </c>
      <c r="J32" s="104">
        <v>34449</v>
      </c>
      <c r="K32" s="2"/>
      <c r="T32" s="114"/>
      <c r="U32" s="114"/>
      <c r="V32" s="114"/>
    </row>
    <row r="33" spans="1:22" x14ac:dyDescent="0.2">
      <c r="A33" s="109" t="s">
        <v>36</v>
      </c>
      <c r="B33" s="109"/>
      <c r="C33" s="109"/>
      <c r="D33" s="109"/>
      <c r="E33" s="109"/>
      <c r="F33" s="109"/>
      <c r="G33" s="109"/>
      <c r="H33" s="99">
        <v>3065</v>
      </c>
      <c r="I33" s="99">
        <v>2942</v>
      </c>
      <c r="J33" s="99">
        <v>3250</v>
      </c>
      <c r="T33" s="114"/>
      <c r="U33" s="114"/>
      <c r="V33" s="114"/>
    </row>
    <row r="34" spans="1:22" x14ac:dyDescent="0.2">
      <c r="A34" s="109" t="s">
        <v>37</v>
      </c>
      <c r="B34" s="109"/>
      <c r="C34" s="109"/>
      <c r="D34" s="109"/>
      <c r="E34" s="109"/>
      <c r="F34" s="109"/>
      <c r="G34" s="109"/>
      <c r="H34" s="99">
        <v>18027</v>
      </c>
      <c r="I34" s="99">
        <v>7949</v>
      </c>
      <c r="J34" s="99">
        <v>14772</v>
      </c>
      <c r="T34" s="114"/>
      <c r="U34" s="114"/>
      <c r="V34" s="114"/>
    </row>
    <row r="35" spans="1:22" x14ac:dyDescent="0.2">
      <c r="A35" s="109" t="s">
        <v>38</v>
      </c>
      <c r="B35" s="109"/>
      <c r="C35" s="109"/>
      <c r="D35" s="109"/>
      <c r="E35" s="109"/>
      <c r="F35" s="109"/>
      <c r="G35" s="109"/>
      <c r="H35" s="99">
        <v>215</v>
      </c>
      <c r="I35" s="99">
        <v>1104</v>
      </c>
      <c r="J35" s="99">
        <v>0</v>
      </c>
      <c r="T35" s="114"/>
      <c r="U35" s="114"/>
      <c r="V35" s="114"/>
    </row>
    <row r="36" spans="1:22" x14ac:dyDescent="0.2">
      <c r="A36" s="120" t="s">
        <v>39</v>
      </c>
      <c r="B36" s="120"/>
      <c r="C36" s="120"/>
      <c r="D36" s="120"/>
      <c r="E36" s="120"/>
      <c r="F36" s="120"/>
      <c r="G36" s="120"/>
      <c r="H36" s="99">
        <v>345</v>
      </c>
      <c r="I36" s="99">
        <v>336</v>
      </c>
      <c r="J36" s="99">
        <v>300</v>
      </c>
    </row>
    <row r="37" spans="1:22" x14ac:dyDescent="0.2">
      <c r="A37" s="109" t="s">
        <v>40</v>
      </c>
      <c r="B37" s="109"/>
      <c r="C37" s="109"/>
      <c r="D37" s="109"/>
      <c r="E37" s="109"/>
      <c r="F37" s="109"/>
      <c r="G37" s="109"/>
      <c r="H37" s="99">
        <v>16777</v>
      </c>
      <c r="I37" s="99">
        <v>16944</v>
      </c>
      <c r="J37" s="99">
        <v>11711</v>
      </c>
    </row>
    <row r="38" spans="1:22" x14ac:dyDescent="0.2">
      <c r="A38" s="109" t="s">
        <v>41</v>
      </c>
      <c r="B38" s="109"/>
      <c r="C38" s="109"/>
      <c r="D38" s="109"/>
      <c r="E38" s="109"/>
      <c r="F38" s="109"/>
      <c r="G38" s="109"/>
      <c r="H38" s="99">
        <v>3568</v>
      </c>
      <c r="I38" s="99">
        <v>3341</v>
      </c>
      <c r="J38" s="99">
        <v>1141</v>
      </c>
    </row>
    <row r="39" spans="1:22" x14ac:dyDescent="0.2">
      <c r="A39" s="116" t="s">
        <v>42</v>
      </c>
      <c r="B39" s="116"/>
      <c r="C39" s="116"/>
      <c r="D39" s="116"/>
      <c r="E39" s="116"/>
      <c r="F39" s="116"/>
      <c r="G39" s="116"/>
      <c r="H39" s="104">
        <v>43720</v>
      </c>
      <c r="I39" s="104">
        <v>41415</v>
      </c>
      <c r="J39" s="104">
        <v>39897</v>
      </c>
    </row>
    <row r="40" spans="1:22" x14ac:dyDescent="0.2">
      <c r="A40" s="109" t="s">
        <v>43</v>
      </c>
      <c r="B40" s="109"/>
      <c r="C40" s="109"/>
      <c r="D40" s="109"/>
      <c r="E40" s="109"/>
      <c r="F40" s="109"/>
      <c r="G40" s="109"/>
      <c r="H40" s="99">
        <v>11432</v>
      </c>
      <c r="I40" s="99">
        <v>11336</v>
      </c>
      <c r="J40" s="99">
        <v>10907</v>
      </c>
    </row>
    <row r="41" spans="1:22" x14ac:dyDescent="0.2">
      <c r="A41" s="109" t="s">
        <v>44</v>
      </c>
      <c r="B41" s="109"/>
      <c r="C41" s="109"/>
      <c r="D41" s="109"/>
      <c r="E41" s="109"/>
      <c r="F41" s="109"/>
      <c r="G41" s="109"/>
      <c r="H41" s="99">
        <v>368</v>
      </c>
      <c r="I41" s="99">
        <v>368</v>
      </c>
      <c r="J41" s="99">
        <v>0</v>
      </c>
    </row>
    <row r="42" spans="1:22" x14ac:dyDescent="0.2">
      <c r="A42" s="109" t="s">
        <v>45</v>
      </c>
      <c r="B42" s="109"/>
      <c r="C42" s="109"/>
      <c r="D42" s="109"/>
      <c r="E42" s="109"/>
      <c r="F42" s="109"/>
      <c r="G42" s="109"/>
      <c r="H42" s="99">
        <v>1391</v>
      </c>
      <c r="I42" s="99">
        <v>1381</v>
      </c>
      <c r="J42" s="99">
        <v>685</v>
      </c>
    </row>
    <row r="43" spans="1:22" x14ac:dyDescent="0.2">
      <c r="A43" s="109" t="s">
        <v>46</v>
      </c>
      <c r="B43" s="109"/>
      <c r="C43" s="109"/>
      <c r="D43" s="109"/>
      <c r="E43" s="109"/>
      <c r="F43" s="109"/>
      <c r="G43" s="109"/>
      <c r="H43" s="99">
        <v>28365</v>
      </c>
      <c r="I43" s="99">
        <v>24999</v>
      </c>
      <c r="J43" s="99">
        <v>25411</v>
      </c>
    </row>
    <row r="44" spans="1:22" x14ac:dyDescent="0.2">
      <c r="A44" s="109" t="s">
        <v>47</v>
      </c>
      <c r="B44" s="109"/>
      <c r="C44" s="109"/>
      <c r="D44" s="109"/>
      <c r="E44" s="109"/>
      <c r="F44" s="109"/>
      <c r="G44" s="109"/>
      <c r="H44" s="99">
        <v>0</v>
      </c>
      <c r="I44" s="99">
        <v>1001</v>
      </c>
      <c r="J44" s="99">
        <v>426</v>
      </c>
    </row>
    <row r="45" spans="1:22" x14ac:dyDescent="0.2">
      <c r="A45" s="109" t="s">
        <v>48</v>
      </c>
      <c r="B45" s="109"/>
      <c r="C45" s="109"/>
      <c r="D45" s="109"/>
      <c r="E45" s="109"/>
      <c r="F45" s="109"/>
      <c r="G45" s="109"/>
      <c r="H45" s="99">
        <v>1302</v>
      </c>
      <c r="I45" s="99">
        <v>1149</v>
      </c>
      <c r="J45" s="99">
        <v>885</v>
      </c>
    </row>
    <row r="46" spans="1:22" x14ac:dyDescent="0.2">
      <c r="A46" s="109" t="s">
        <v>49</v>
      </c>
      <c r="B46" s="109"/>
      <c r="C46" s="109"/>
      <c r="D46" s="109"/>
      <c r="E46" s="109"/>
      <c r="F46" s="109"/>
      <c r="G46" s="109"/>
      <c r="H46" s="99">
        <v>862</v>
      </c>
      <c r="I46" s="99">
        <v>1181</v>
      </c>
      <c r="J46" s="99">
        <v>699</v>
      </c>
    </row>
    <row r="47" spans="1:22" x14ac:dyDescent="0.2">
      <c r="A47" s="109" t="s">
        <v>50</v>
      </c>
      <c r="B47" s="109"/>
      <c r="C47" s="109"/>
      <c r="D47" s="109"/>
      <c r="E47" s="109"/>
      <c r="F47" s="109"/>
      <c r="G47" s="109"/>
      <c r="H47" s="99">
        <v>0</v>
      </c>
      <c r="I47" s="99">
        <v>0</v>
      </c>
      <c r="J47" s="99">
        <v>0</v>
      </c>
    </row>
    <row r="48" spans="1:22" x14ac:dyDescent="0.2">
      <c r="A48" s="115" t="s">
        <v>51</v>
      </c>
      <c r="B48" s="115"/>
      <c r="C48" s="115"/>
      <c r="D48" s="115"/>
      <c r="E48" s="115"/>
      <c r="F48" s="115"/>
      <c r="G48" s="115"/>
      <c r="H48" s="103">
        <v>85717</v>
      </c>
      <c r="I48" s="103">
        <v>74031</v>
      </c>
      <c r="J48" s="103">
        <v>74346</v>
      </c>
    </row>
    <row r="49" spans="1:10" x14ac:dyDescent="0.2">
      <c r="A49" s="131" t="s">
        <v>52</v>
      </c>
      <c r="B49" s="131"/>
      <c r="C49" s="131"/>
      <c r="D49" s="131"/>
      <c r="E49" s="131"/>
      <c r="F49" s="131"/>
      <c r="G49" s="131"/>
      <c r="H49" s="105">
        <v>182617</v>
      </c>
      <c r="I49" s="105">
        <v>155836</v>
      </c>
      <c r="J49" s="105">
        <v>151712</v>
      </c>
    </row>
  </sheetData>
  <mergeCells count="60">
    <mergeCell ref="A8:G8"/>
    <mergeCell ref="S22:U22"/>
    <mergeCell ref="S25:S26"/>
    <mergeCell ref="U24:U25"/>
    <mergeCell ref="A2:G2"/>
    <mergeCell ref="A4:G4"/>
    <mergeCell ref="A5:G5"/>
    <mergeCell ref="A6:G6"/>
    <mergeCell ref="A7:G7"/>
    <mergeCell ref="A20:G20"/>
    <mergeCell ref="A9:G9"/>
    <mergeCell ref="A10:G10"/>
    <mergeCell ref="A11:G11"/>
    <mergeCell ref="A12:G12"/>
    <mergeCell ref="A13:G13"/>
    <mergeCell ref="A14:G14"/>
    <mergeCell ref="A15:G15"/>
    <mergeCell ref="A16:G16"/>
    <mergeCell ref="A17:G17"/>
    <mergeCell ref="A18:G18"/>
    <mergeCell ref="A19:G19"/>
    <mergeCell ref="A28:G28"/>
    <mergeCell ref="A29:G29"/>
    <mergeCell ref="A21:G21"/>
    <mergeCell ref="A22:G22"/>
    <mergeCell ref="A23:G23"/>
    <mergeCell ref="A24:G24"/>
    <mergeCell ref="A25:G25"/>
    <mergeCell ref="A45:G45"/>
    <mergeCell ref="A46:G46"/>
    <mergeCell ref="A26:G26"/>
    <mergeCell ref="A43:G43"/>
    <mergeCell ref="A44:G44"/>
    <mergeCell ref="A33:G33"/>
    <mergeCell ref="A34:G34"/>
    <mergeCell ref="A35:G35"/>
    <mergeCell ref="A36:G36"/>
    <mergeCell ref="A37:G37"/>
    <mergeCell ref="A38:G38"/>
    <mergeCell ref="A39:G39"/>
    <mergeCell ref="A40:G40"/>
    <mergeCell ref="A41:G41"/>
    <mergeCell ref="A42:G42"/>
    <mergeCell ref="A27:G27"/>
    <mergeCell ref="A47:G47"/>
    <mergeCell ref="A48:G48"/>
    <mergeCell ref="A49:G49"/>
    <mergeCell ref="R3:U5"/>
    <mergeCell ref="R12:U15"/>
    <mergeCell ref="R17:U18"/>
    <mergeCell ref="T29:V35"/>
    <mergeCell ref="L12:M13"/>
    <mergeCell ref="N17:P18"/>
    <mergeCell ref="N12:P13"/>
    <mergeCell ref="N7:P8"/>
    <mergeCell ref="N2:P3"/>
    <mergeCell ref="N22:P23"/>
    <mergeCell ref="A30:G30"/>
    <mergeCell ref="A31:G31"/>
    <mergeCell ref="A32:G3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0E09D-E51F-47C5-B524-2C9D88AAC733}">
  <dimension ref="A2:Y47"/>
  <sheetViews>
    <sheetView topLeftCell="K6" zoomScale="90" zoomScaleNormal="90" workbookViewId="0">
      <selection activeCell="Q32" sqref="Q32:Y36"/>
    </sheetView>
  </sheetViews>
  <sheetFormatPr baseColWidth="10" defaultColWidth="8.6640625" defaultRowHeight="15" x14ac:dyDescent="0.2"/>
  <cols>
    <col min="12" max="12" width="32.33203125" customWidth="1"/>
    <col min="13" max="15" width="10.5" bestFit="1" customWidth="1"/>
    <col min="17" max="17" width="14.1640625" customWidth="1"/>
  </cols>
  <sheetData>
    <row r="2" spans="1:23" x14ac:dyDescent="0.2">
      <c r="A2" s="56" t="s">
        <v>94</v>
      </c>
      <c r="B2" s="56"/>
      <c r="C2" s="56"/>
      <c r="D2" s="56"/>
      <c r="E2" s="56"/>
      <c r="F2" s="56"/>
      <c r="G2" s="56"/>
      <c r="H2" s="56">
        <v>2021</v>
      </c>
      <c r="I2" s="56">
        <v>2020</v>
      </c>
      <c r="J2" s="56">
        <v>2019</v>
      </c>
      <c r="L2" s="63" t="s">
        <v>176</v>
      </c>
    </row>
    <row r="3" spans="1:23" x14ac:dyDescent="0.2">
      <c r="A3" s="4" t="s">
        <v>95</v>
      </c>
      <c r="B3" s="4"/>
      <c r="C3" s="4"/>
      <c r="D3" s="4"/>
      <c r="E3" s="4"/>
      <c r="F3" s="4"/>
      <c r="G3" s="4"/>
      <c r="H3" s="4">
        <v>155561</v>
      </c>
      <c r="I3" s="4">
        <v>172039</v>
      </c>
      <c r="J3" s="4">
        <v>151251</v>
      </c>
      <c r="L3" s="47"/>
      <c r="M3" s="4">
        <v>2021</v>
      </c>
      <c r="N3" s="4">
        <v>2020</v>
      </c>
      <c r="O3" s="4">
        <v>2019</v>
      </c>
      <c r="Q3" s="114" t="s">
        <v>177</v>
      </c>
      <c r="R3" s="114"/>
      <c r="S3" s="114"/>
      <c r="T3" s="114"/>
      <c r="U3" s="114"/>
      <c r="V3" s="114"/>
      <c r="W3" s="114"/>
    </row>
    <row r="4" spans="1:23" x14ac:dyDescent="0.2">
      <c r="A4" t="s">
        <v>96</v>
      </c>
      <c r="L4" s="130" t="s">
        <v>178</v>
      </c>
      <c r="Q4" s="114"/>
      <c r="R4" s="114"/>
      <c r="S4" s="114"/>
      <c r="T4" s="114"/>
      <c r="U4" s="114"/>
      <c r="V4" s="114"/>
      <c r="W4" s="114"/>
    </row>
    <row r="5" spans="1:23" ht="14.5" customHeight="1" x14ac:dyDescent="0.2">
      <c r="A5" t="s">
        <v>97</v>
      </c>
      <c r="H5">
        <v>121620</v>
      </c>
      <c r="I5">
        <v>136468</v>
      </c>
      <c r="J5">
        <v>120110</v>
      </c>
      <c r="L5" s="130"/>
      <c r="M5" s="60">
        <f>H3/M8</f>
        <v>0.96806935006098627</v>
      </c>
      <c r="N5" s="60">
        <f>I3/N8</f>
        <v>0.9849767838637834</v>
      </c>
      <c r="O5" s="60">
        <f>J3/O8</f>
        <v>0.99166027418815528</v>
      </c>
      <c r="Q5" s="114"/>
      <c r="R5" s="114"/>
      <c r="S5" s="114"/>
      <c r="T5" s="114"/>
      <c r="U5" s="114"/>
      <c r="V5" s="114"/>
      <c r="W5" s="114"/>
    </row>
    <row r="6" spans="1:23" x14ac:dyDescent="0.2">
      <c r="A6" t="s">
        <v>98</v>
      </c>
      <c r="H6">
        <v>33941</v>
      </c>
      <c r="I6">
        <v>35571</v>
      </c>
      <c r="J6">
        <v>31141</v>
      </c>
      <c r="L6" s="47" t="s">
        <v>179</v>
      </c>
      <c r="M6" s="60">
        <f>H15/M8</f>
        <v>2.6423219575336668E-2</v>
      </c>
      <c r="N6" s="60">
        <f>I15/N8</f>
        <v>1.4118616993868191E-2</v>
      </c>
      <c r="O6" s="60">
        <f>J15/O8</f>
        <v>7.6185231079902707E-3</v>
      </c>
      <c r="Q6" s="114"/>
      <c r="R6" s="114"/>
      <c r="S6" s="114"/>
      <c r="T6" s="114"/>
      <c r="U6" s="114"/>
      <c r="V6" s="114"/>
      <c r="W6" s="114"/>
    </row>
    <row r="7" spans="1:23" x14ac:dyDescent="0.2">
      <c r="A7" s="59" t="s">
        <v>99</v>
      </c>
      <c r="B7" s="59"/>
      <c r="C7" s="59"/>
      <c r="D7" s="59"/>
      <c r="E7" s="59"/>
      <c r="F7" s="59"/>
      <c r="G7" s="59"/>
      <c r="H7" s="59">
        <v>128560</v>
      </c>
      <c r="I7" s="59">
        <v>138246</v>
      </c>
      <c r="J7" s="59">
        <v>118314</v>
      </c>
      <c r="L7" s="47" t="s">
        <v>180</v>
      </c>
      <c r="M7" s="60">
        <f>H17/M8</f>
        <v>5.5074303636770969E-3</v>
      </c>
      <c r="N7" s="60">
        <f>I17/N8</f>
        <v>9.0459914234840809E-4</v>
      </c>
      <c r="O7" s="60">
        <f>J17/O8</f>
        <v>7.2120270385450061E-4</v>
      </c>
      <c r="Q7" s="114"/>
      <c r="R7" s="114"/>
      <c r="S7" s="114"/>
      <c r="T7" s="114"/>
      <c r="U7" s="114"/>
      <c r="V7" s="114"/>
      <c r="W7" s="114"/>
    </row>
    <row r="8" spans="1:23" x14ac:dyDescent="0.2">
      <c r="A8" t="s">
        <v>100</v>
      </c>
      <c r="L8" s="49" t="s">
        <v>181</v>
      </c>
      <c r="M8" s="4">
        <f>SUM(H3,H15,H17)</f>
        <v>160692</v>
      </c>
      <c r="N8" s="4">
        <f>SUM(I3,I15,I17)</f>
        <v>174663</v>
      </c>
      <c r="O8" s="4">
        <f>SUM(J3,J15,J17)</f>
        <v>152523</v>
      </c>
      <c r="Q8" s="114"/>
      <c r="R8" s="114"/>
      <c r="S8" s="114"/>
      <c r="T8" s="114"/>
      <c r="U8" s="114"/>
      <c r="V8" s="114"/>
      <c r="W8" s="114"/>
    </row>
    <row r="9" spans="1:23" x14ac:dyDescent="0.2">
      <c r="A9" t="s">
        <v>101</v>
      </c>
      <c r="H9">
        <v>97794</v>
      </c>
      <c r="I9">
        <v>105979</v>
      </c>
      <c r="J9">
        <v>90576</v>
      </c>
      <c r="L9" s="47"/>
    </row>
    <row r="10" spans="1:23" x14ac:dyDescent="0.2">
      <c r="A10" t="s">
        <v>102</v>
      </c>
      <c r="H10">
        <v>30766</v>
      </c>
      <c r="I10">
        <v>32267</v>
      </c>
      <c r="J10">
        <v>27738</v>
      </c>
      <c r="L10" s="47"/>
      <c r="M10" s="4" t="s">
        <v>127</v>
      </c>
      <c r="N10" s="4" t="s">
        <v>129</v>
      </c>
    </row>
    <row r="11" spans="1:23" x14ac:dyDescent="0.2">
      <c r="A11" s="15" t="s">
        <v>103</v>
      </c>
      <c r="B11" s="15"/>
      <c r="C11" s="15"/>
      <c r="D11" s="15"/>
      <c r="E11" s="15"/>
      <c r="F11" s="15"/>
      <c r="G11" s="15"/>
      <c r="H11" s="15">
        <v>27001</v>
      </c>
      <c r="I11" s="15">
        <v>33793</v>
      </c>
      <c r="J11" s="15">
        <v>32937</v>
      </c>
      <c r="L11" s="47" t="s">
        <v>182</v>
      </c>
      <c r="M11" s="61">
        <f t="shared" ref="M11:N13" si="0">M5/N5</f>
        <v>0.98283468800505724</v>
      </c>
      <c r="N11" s="61">
        <f t="shared" si="0"/>
        <v>0.99326030244597274</v>
      </c>
    </row>
    <row r="12" spans="1:23" x14ac:dyDescent="0.2">
      <c r="A12" s="59" t="s">
        <v>104</v>
      </c>
      <c r="B12" s="59"/>
      <c r="C12" s="59"/>
      <c r="D12" s="59"/>
      <c r="E12" s="59"/>
      <c r="F12" s="59"/>
      <c r="G12" s="59"/>
      <c r="H12" s="59">
        <v>19447</v>
      </c>
      <c r="I12" s="59">
        <v>20496</v>
      </c>
      <c r="J12" s="59">
        <v>20157</v>
      </c>
      <c r="L12" s="47" t="s">
        <v>179</v>
      </c>
      <c r="M12" s="61">
        <f t="shared" si="0"/>
        <v>1.8715161397757618</v>
      </c>
      <c r="N12" s="61">
        <f t="shared" si="0"/>
        <v>1.8531960583096025</v>
      </c>
    </row>
    <row r="13" spans="1:23" x14ac:dyDescent="0.2">
      <c r="A13" s="59" t="s">
        <v>105</v>
      </c>
      <c r="B13" s="59"/>
      <c r="C13" s="59"/>
      <c r="D13" s="59"/>
      <c r="E13" s="59"/>
      <c r="F13" s="59"/>
      <c r="G13" s="59"/>
      <c r="H13" s="59">
        <v>5016</v>
      </c>
      <c r="I13" s="59">
        <v>4990</v>
      </c>
      <c r="J13" s="59">
        <v>5137</v>
      </c>
      <c r="L13" s="47" t="s">
        <v>180</v>
      </c>
      <c r="M13" s="61">
        <f t="shared" si="0"/>
        <v>6.0882551241198275</v>
      </c>
      <c r="N13" s="61">
        <f t="shared" si="0"/>
        <v>1.2542924998946023</v>
      </c>
    </row>
    <row r="14" spans="1:23" x14ac:dyDescent="0.2">
      <c r="A14" t="s">
        <v>106</v>
      </c>
      <c r="H14">
        <v>785</v>
      </c>
      <c r="I14">
        <v>877</v>
      </c>
      <c r="J14">
        <v>741</v>
      </c>
      <c r="L14" s="47"/>
    </row>
    <row r="15" spans="1:23" x14ac:dyDescent="0.2">
      <c r="A15" s="4" t="s">
        <v>107</v>
      </c>
      <c r="B15" s="4"/>
      <c r="C15" s="4"/>
      <c r="D15" s="4"/>
      <c r="E15" s="4"/>
      <c r="F15" s="4"/>
      <c r="G15" s="4"/>
      <c r="H15" s="4">
        <v>4246</v>
      </c>
      <c r="I15" s="4">
        <v>2466</v>
      </c>
      <c r="J15" s="4">
        <v>1162</v>
      </c>
      <c r="L15" s="63" t="s">
        <v>183</v>
      </c>
    </row>
    <row r="16" spans="1:23" ht="14.75" customHeight="1" x14ac:dyDescent="0.2">
      <c r="A16" s="15" t="s">
        <v>108</v>
      </c>
      <c r="B16" s="15"/>
      <c r="C16" s="15"/>
      <c r="D16" s="15"/>
      <c r="E16" s="15"/>
      <c r="F16" s="15"/>
      <c r="G16" s="15"/>
      <c r="H16" s="15">
        <v>5999</v>
      </c>
      <c r="I16" s="15">
        <v>9896</v>
      </c>
      <c r="J16" s="15">
        <v>8064</v>
      </c>
      <c r="L16" s="47"/>
      <c r="M16" s="59">
        <v>2021</v>
      </c>
      <c r="N16" s="59">
        <v>2020</v>
      </c>
      <c r="O16" s="59">
        <v>2019</v>
      </c>
    </row>
    <row r="17" spans="1:25" ht="14" customHeight="1" x14ac:dyDescent="0.2">
      <c r="A17" s="4" t="s">
        <v>109</v>
      </c>
      <c r="B17" s="4"/>
      <c r="C17" s="4"/>
      <c r="D17" s="4"/>
      <c r="E17" s="4"/>
      <c r="F17" s="4"/>
      <c r="G17" s="4"/>
      <c r="H17" s="4">
        <v>885</v>
      </c>
      <c r="I17" s="4">
        <v>158</v>
      </c>
      <c r="J17" s="4">
        <v>110</v>
      </c>
      <c r="L17" s="130" t="s">
        <v>184</v>
      </c>
      <c r="Q17" s="114" t="s">
        <v>185</v>
      </c>
      <c r="R17" s="114"/>
      <c r="S17" s="114"/>
      <c r="T17" s="114"/>
      <c r="U17" s="114"/>
      <c r="V17" s="114"/>
      <c r="W17" s="114"/>
      <c r="X17" s="114"/>
    </row>
    <row r="18" spans="1:25" ht="14.75" customHeight="1" x14ac:dyDescent="0.2">
      <c r="A18" s="59" t="s">
        <v>110</v>
      </c>
      <c r="B18" s="59"/>
      <c r="C18" s="59"/>
      <c r="D18" s="59"/>
      <c r="E18" s="59"/>
      <c r="F18" s="59"/>
      <c r="G18" s="59"/>
      <c r="H18" s="59">
        <v>846</v>
      </c>
      <c r="I18" s="59">
        <v>1488</v>
      </c>
      <c r="J18" s="59">
        <v>1140</v>
      </c>
      <c r="L18" s="130"/>
      <c r="M18" s="60">
        <f>H7/M22</f>
        <v>0.83551592588500612</v>
      </c>
      <c r="N18" s="60">
        <f>I7/N22</f>
        <v>0.83673889359641684</v>
      </c>
      <c r="O18" s="60">
        <f>J7/O22</f>
        <v>0.81737916931494736</v>
      </c>
      <c r="Q18" s="114"/>
      <c r="R18" s="114"/>
      <c r="S18" s="114"/>
      <c r="T18" s="114"/>
      <c r="U18" s="114"/>
      <c r="V18" s="114"/>
      <c r="W18" s="114"/>
      <c r="X18" s="114"/>
    </row>
    <row r="19" spans="1:25" x14ac:dyDescent="0.2">
      <c r="A19" s="15" t="s">
        <v>111</v>
      </c>
      <c r="B19" s="15"/>
      <c r="C19" s="15"/>
      <c r="D19" s="15"/>
      <c r="E19" s="15"/>
      <c r="F19" s="15"/>
      <c r="G19" s="15"/>
      <c r="H19" s="15">
        <v>6038</v>
      </c>
      <c r="I19" s="15">
        <v>8566</v>
      </c>
      <c r="J19" s="15">
        <v>7034</v>
      </c>
      <c r="L19" s="47" t="s">
        <v>104</v>
      </c>
      <c r="M19" s="60">
        <f>H12/M22</f>
        <v>0.12638673157036179</v>
      </c>
      <c r="N19" s="60">
        <f>I12/N22</f>
        <v>0.12405277811402977</v>
      </c>
      <c r="O19" s="60">
        <f>J12/O22</f>
        <v>0.13925581009754884</v>
      </c>
      <c r="Q19" s="114"/>
      <c r="R19" s="114"/>
      <c r="S19" s="114"/>
      <c r="T19" s="114"/>
      <c r="U19" s="114"/>
      <c r="V19" s="114"/>
      <c r="W19" s="114"/>
      <c r="X19" s="114"/>
    </row>
    <row r="20" spans="1:25" x14ac:dyDescent="0.2">
      <c r="A20" t="s">
        <v>112</v>
      </c>
      <c r="H20">
        <v>1004</v>
      </c>
      <c r="I20">
        <v>1814</v>
      </c>
      <c r="J20">
        <v>1448</v>
      </c>
      <c r="L20" s="47" t="s">
        <v>105</v>
      </c>
      <c r="M20" s="60">
        <f>H13/M22</f>
        <v>3.2599159024884805E-2</v>
      </c>
      <c r="N20" s="60">
        <f>I13/N22</f>
        <v>3.0202154702820481E-2</v>
      </c>
      <c r="O20" s="60">
        <f>J13/O22</f>
        <v>3.5489264100367533E-2</v>
      </c>
      <c r="Q20" s="114"/>
      <c r="R20" s="114"/>
      <c r="S20" s="114"/>
      <c r="T20" s="114"/>
      <c r="U20" s="114"/>
      <c r="V20" s="114"/>
      <c r="W20" s="114"/>
      <c r="X20" s="114"/>
    </row>
    <row r="21" spans="1:25" x14ac:dyDescent="0.2">
      <c r="A21" t="s">
        <v>113</v>
      </c>
      <c r="H21">
        <v>5034</v>
      </c>
      <c r="I21">
        <v>6752</v>
      </c>
      <c r="J21">
        <v>5586</v>
      </c>
      <c r="L21" s="47" t="s">
        <v>186</v>
      </c>
      <c r="M21" s="60">
        <f>H18/M22</f>
        <v>5.4981835197473175E-3</v>
      </c>
      <c r="N21" s="60">
        <f>I18/N22</f>
        <v>9.0061735867328404E-3</v>
      </c>
      <c r="O21" s="60">
        <f>J18/O22</f>
        <v>7.8757564871362647E-3</v>
      </c>
      <c r="Q21" s="114"/>
      <c r="R21" s="114"/>
      <c r="S21" s="114"/>
      <c r="T21" s="114"/>
      <c r="U21" s="114"/>
      <c r="V21" s="114"/>
      <c r="W21" s="114"/>
      <c r="X21" s="114"/>
    </row>
    <row r="22" spans="1:25" x14ac:dyDescent="0.2">
      <c r="A22" t="s">
        <v>114</v>
      </c>
      <c r="L22" s="64" t="s">
        <v>187</v>
      </c>
      <c r="M22" s="59">
        <f>SUM(H7,H12,H13,H18,)</f>
        <v>153869</v>
      </c>
      <c r="N22" s="59">
        <f>SUM(I7,I12,I13,I18,)</f>
        <v>165220</v>
      </c>
      <c r="O22" s="59">
        <f>SUM(J7,J12,J13,J18,)</f>
        <v>144748</v>
      </c>
      <c r="Q22" s="114"/>
      <c r="R22" s="114"/>
      <c r="S22" s="114"/>
      <c r="T22" s="114"/>
      <c r="U22" s="114"/>
      <c r="V22" s="114"/>
      <c r="W22" s="114"/>
      <c r="X22" s="114"/>
    </row>
    <row r="23" spans="1:25" x14ac:dyDescent="0.2">
      <c r="A23" t="s">
        <v>115</v>
      </c>
      <c r="H23">
        <v>5034</v>
      </c>
      <c r="I23">
        <v>6752</v>
      </c>
      <c r="J23">
        <v>5586</v>
      </c>
      <c r="L23" s="47"/>
    </row>
    <row r="24" spans="1:25" x14ac:dyDescent="0.2">
      <c r="A24" t="s">
        <v>116</v>
      </c>
      <c r="H24">
        <v>0</v>
      </c>
      <c r="I24">
        <v>0</v>
      </c>
      <c r="J24">
        <v>0</v>
      </c>
      <c r="L24" s="47"/>
      <c r="M24" s="59" t="s">
        <v>127</v>
      </c>
      <c r="N24" s="59" t="s">
        <v>129</v>
      </c>
    </row>
    <row r="25" spans="1:25" ht="14.75" customHeight="1" x14ac:dyDescent="0.2">
      <c r="A25" t="s">
        <v>117</v>
      </c>
      <c r="H25">
        <v>0.54</v>
      </c>
      <c r="I25">
        <v>0.73</v>
      </c>
      <c r="J25">
        <v>0.6</v>
      </c>
      <c r="L25" s="47" t="s">
        <v>188</v>
      </c>
      <c r="M25" s="61">
        <f t="shared" ref="M25:N28" si="1">M18/N18</f>
        <v>0.99853841177842917</v>
      </c>
      <c r="N25" s="61">
        <f t="shared" si="1"/>
        <v>1.0236851206982618</v>
      </c>
    </row>
    <row r="26" spans="1:25" x14ac:dyDescent="0.2">
      <c r="A26" t="s">
        <v>118</v>
      </c>
      <c r="H26">
        <v>0.54</v>
      </c>
      <c r="I26">
        <v>0.73</v>
      </c>
      <c r="J26">
        <v>0.6</v>
      </c>
      <c r="L26" s="47" t="s">
        <v>104</v>
      </c>
      <c r="M26" s="61">
        <f t="shared" si="1"/>
        <v>1.0188141974070637</v>
      </c>
      <c r="N26" s="61">
        <f t="shared" si="1"/>
        <v>0.89082658760974265</v>
      </c>
    </row>
    <row r="27" spans="1:25" x14ac:dyDescent="0.2">
      <c r="A27" t="s">
        <v>119</v>
      </c>
      <c r="H27">
        <v>0</v>
      </c>
      <c r="I27">
        <v>0</v>
      </c>
      <c r="J27">
        <v>0</v>
      </c>
      <c r="L27" s="47" t="s">
        <v>105</v>
      </c>
      <c r="M27" s="61">
        <f t="shared" si="1"/>
        <v>1.079365341501296</v>
      </c>
      <c r="N27" s="61">
        <f t="shared" si="1"/>
        <v>0.85102228711774563</v>
      </c>
    </row>
    <row r="28" spans="1:25" x14ac:dyDescent="0.2">
      <c r="A28" t="s">
        <v>120</v>
      </c>
      <c r="H28">
        <v>5034</v>
      </c>
      <c r="I28">
        <v>6752</v>
      </c>
      <c r="J28">
        <v>5586</v>
      </c>
      <c r="L28" s="47" t="s">
        <v>186</v>
      </c>
      <c r="M28" s="61">
        <f t="shared" si="1"/>
        <v>0.6104905115138789</v>
      </c>
      <c r="N28" s="61">
        <f t="shared" si="1"/>
        <v>1.1435312406424607</v>
      </c>
    </row>
    <row r="29" spans="1:25" x14ac:dyDescent="0.2">
      <c r="A29" t="s">
        <v>115</v>
      </c>
      <c r="H29">
        <v>5034</v>
      </c>
      <c r="I29">
        <v>6752</v>
      </c>
      <c r="J29">
        <v>5586</v>
      </c>
      <c r="L29" s="47"/>
    </row>
    <row r="30" spans="1:25" x14ac:dyDescent="0.2">
      <c r="A30" t="s">
        <v>116</v>
      </c>
      <c r="H30">
        <v>0</v>
      </c>
      <c r="I30">
        <v>0</v>
      </c>
      <c r="J30">
        <v>0</v>
      </c>
      <c r="L30" s="63" t="s">
        <v>189</v>
      </c>
    </row>
    <row r="31" spans="1:25" x14ac:dyDescent="0.2">
      <c r="L31" s="47"/>
      <c r="M31" s="15">
        <v>2021</v>
      </c>
      <c r="N31" s="15">
        <v>2020</v>
      </c>
      <c r="O31" s="15">
        <v>2019</v>
      </c>
    </row>
    <row r="32" spans="1:25" ht="14.75" customHeight="1" x14ac:dyDescent="0.2">
      <c r="L32" s="47" t="s">
        <v>190</v>
      </c>
      <c r="M32" s="60">
        <f>H11/M35</f>
        <v>0.69165940878118759</v>
      </c>
      <c r="N32" s="60">
        <f>I11/N35</f>
        <v>0.6466940962587312</v>
      </c>
      <c r="O32" s="60">
        <f>J11/O35</f>
        <v>0.6856875195170189</v>
      </c>
      <c r="Q32" s="114" t="s">
        <v>191</v>
      </c>
      <c r="R32" s="114"/>
      <c r="S32" s="114"/>
      <c r="T32" s="114"/>
      <c r="U32" s="114"/>
      <c r="V32" s="114"/>
      <c r="W32" s="114"/>
      <c r="X32" s="114"/>
      <c r="Y32" s="114"/>
    </row>
    <row r="33" spans="12:25" x14ac:dyDescent="0.2">
      <c r="L33" s="47" t="s">
        <v>192</v>
      </c>
      <c r="M33" s="60">
        <f>H16/M35</f>
        <v>0.15367078231466777</v>
      </c>
      <c r="N33" s="60">
        <f>I16/N35</f>
        <v>0.18937900679360828</v>
      </c>
      <c r="O33" s="60">
        <f>J16/O35</f>
        <v>0.16787758925783283</v>
      </c>
      <c r="Q33" s="114"/>
      <c r="R33" s="114"/>
      <c r="S33" s="114"/>
      <c r="T33" s="114"/>
      <c r="U33" s="114"/>
      <c r="V33" s="114"/>
      <c r="W33" s="114"/>
      <c r="X33" s="114"/>
      <c r="Y33" s="114"/>
    </row>
    <row r="34" spans="12:25" x14ac:dyDescent="0.2">
      <c r="L34" s="47" t="s">
        <v>193</v>
      </c>
      <c r="M34" s="60">
        <f>H19/M35</f>
        <v>0.15466980890414467</v>
      </c>
      <c r="N34" s="60">
        <f>I19/N35</f>
        <v>0.16392689694766052</v>
      </c>
      <c r="O34" s="60">
        <f>J19/O35</f>
        <v>0.14643489122514833</v>
      </c>
      <c r="Q34" s="114"/>
      <c r="R34" s="114"/>
      <c r="S34" s="114"/>
      <c r="T34" s="114"/>
      <c r="U34" s="114"/>
      <c r="V34" s="114"/>
      <c r="W34" s="114"/>
      <c r="X34" s="114"/>
      <c r="Y34" s="114"/>
    </row>
    <row r="35" spans="12:25" x14ac:dyDescent="0.2">
      <c r="L35" s="48" t="s">
        <v>194</v>
      </c>
      <c r="M35" s="15">
        <f>SUM(H11,H16,H19)</f>
        <v>39038</v>
      </c>
      <c r="N35" s="15">
        <f>SUM(I11,I16,I19)</f>
        <v>52255</v>
      </c>
      <c r="O35" s="15">
        <f>SUM(J11,J16,J19)</f>
        <v>48035</v>
      </c>
      <c r="Q35" s="114"/>
      <c r="R35" s="114"/>
      <c r="S35" s="114"/>
      <c r="T35" s="114"/>
      <c r="U35" s="114"/>
      <c r="V35" s="114"/>
      <c r="W35" s="114"/>
      <c r="X35" s="114"/>
      <c r="Y35" s="114"/>
    </row>
    <row r="36" spans="12:25" x14ac:dyDescent="0.2">
      <c r="L36" s="47"/>
      <c r="Q36" s="114"/>
      <c r="R36" s="114"/>
      <c r="S36" s="114"/>
      <c r="T36" s="114"/>
      <c r="U36" s="114"/>
      <c r="V36" s="114"/>
      <c r="W36" s="114"/>
      <c r="X36" s="114"/>
      <c r="Y36" s="114"/>
    </row>
    <row r="37" spans="12:25" x14ac:dyDescent="0.2">
      <c r="L37" s="47"/>
      <c r="M37" s="15" t="s">
        <v>127</v>
      </c>
      <c r="N37" s="15" t="s">
        <v>129</v>
      </c>
    </row>
    <row r="38" spans="12:25" x14ac:dyDescent="0.2">
      <c r="L38" s="47" t="s">
        <v>190</v>
      </c>
      <c r="M38" s="61">
        <f t="shared" ref="M38:N40" si="2">M32/N32</f>
        <v>1.0695310391460053</v>
      </c>
      <c r="N38" s="61">
        <f t="shared" si="2"/>
        <v>0.94313237130850258</v>
      </c>
    </row>
    <row r="39" spans="12:25" x14ac:dyDescent="0.2">
      <c r="L39" s="47" t="s">
        <v>192</v>
      </c>
      <c r="M39" s="61">
        <f t="shared" si="2"/>
        <v>0.81144570835215879</v>
      </c>
      <c r="N39" s="61">
        <f t="shared" si="2"/>
        <v>1.1280779503138607</v>
      </c>
    </row>
    <row r="40" spans="12:25" x14ac:dyDescent="0.2">
      <c r="L40" s="47" t="s">
        <v>193</v>
      </c>
      <c r="M40" s="61">
        <f t="shared" si="2"/>
        <v>0.94352916930727049</v>
      </c>
      <c r="N40" s="61">
        <f t="shared" si="2"/>
        <v>1.1194524445380827</v>
      </c>
    </row>
    <row r="41" spans="12:25" x14ac:dyDescent="0.2">
      <c r="L41" s="47"/>
    </row>
    <row r="42" spans="12:25" x14ac:dyDescent="0.2">
      <c r="L42" s="63" t="s">
        <v>195</v>
      </c>
    </row>
    <row r="43" spans="12:25" ht="14.75" customHeight="1" x14ac:dyDescent="0.2">
      <c r="L43" s="47"/>
      <c r="M43" s="62">
        <v>2021</v>
      </c>
      <c r="N43" s="62">
        <v>2020</v>
      </c>
      <c r="O43" s="62">
        <v>2019</v>
      </c>
    </row>
    <row r="44" spans="12:25" ht="14.5" customHeight="1" x14ac:dyDescent="0.2">
      <c r="L44" s="130" t="s">
        <v>184</v>
      </c>
      <c r="Q44" s="114" t="s">
        <v>196</v>
      </c>
      <c r="R44" s="114"/>
      <c r="S44" s="114"/>
      <c r="T44" s="114"/>
      <c r="U44" s="114"/>
      <c r="V44" s="114"/>
      <c r="W44" s="114"/>
      <c r="X44" s="114"/>
      <c r="Y44" s="114"/>
    </row>
    <row r="45" spans="12:25" ht="14.75" customHeight="1" x14ac:dyDescent="0.2">
      <c r="L45" s="130"/>
      <c r="M45" s="60">
        <f>H7/H3</f>
        <v>0.82642821786951748</v>
      </c>
      <c r="N45" s="60">
        <f t="shared" ref="N45:O45" si="3">I7/I3</f>
        <v>0.80357360830974367</v>
      </c>
      <c r="O45" s="60">
        <f t="shared" si="3"/>
        <v>0.78223615050479001</v>
      </c>
      <c r="Q45" s="114"/>
      <c r="R45" s="114"/>
      <c r="S45" s="114"/>
      <c r="T45" s="114"/>
      <c r="U45" s="114"/>
      <c r="V45" s="114"/>
      <c r="W45" s="114"/>
      <c r="X45" s="114"/>
      <c r="Y45" s="114"/>
    </row>
    <row r="46" spans="12:25" x14ac:dyDescent="0.2">
      <c r="L46" s="47" t="s">
        <v>186</v>
      </c>
      <c r="M46" s="60">
        <f>H18/H17</f>
        <v>0.95593220338983054</v>
      </c>
      <c r="N46" s="60">
        <f t="shared" ref="N46:O46" si="4">I18/I17</f>
        <v>9.4177215189873422</v>
      </c>
      <c r="O46" s="60">
        <f t="shared" si="4"/>
        <v>10.363636363636363</v>
      </c>
      <c r="Q46" s="114"/>
      <c r="R46" s="114"/>
      <c r="S46" s="114"/>
      <c r="T46" s="114"/>
      <c r="U46" s="114"/>
      <c r="V46" s="114"/>
      <c r="W46" s="114"/>
      <c r="X46" s="114"/>
      <c r="Y46" s="114"/>
    </row>
    <row r="47" spans="12:25" x14ac:dyDescent="0.2">
      <c r="L47" s="47"/>
      <c r="Q47" s="114"/>
      <c r="R47" s="114"/>
      <c r="S47" s="114"/>
      <c r="T47" s="114"/>
      <c r="U47" s="114"/>
      <c r="V47" s="114"/>
      <c r="W47" s="114"/>
      <c r="X47" s="114"/>
      <c r="Y47" s="114"/>
    </row>
  </sheetData>
  <mergeCells count="7">
    <mergeCell ref="L44:L45"/>
    <mergeCell ref="L4:L5"/>
    <mergeCell ref="L17:L18"/>
    <mergeCell ref="Q17:X22"/>
    <mergeCell ref="Q3:W8"/>
    <mergeCell ref="Q44:Y47"/>
    <mergeCell ref="Q32:Y36"/>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20BA8-12F4-4461-9D7E-B49F36FF4A25}">
  <dimension ref="A3:Y74"/>
  <sheetViews>
    <sheetView topLeftCell="N39" zoomScale="120" zoomScaleNormal="120" workbookViewId="0">
      <selection activeCell="P53" sqref="P53"/>
    </sheetView>
  </sheetViews>
  <sheetFormatPr baseColWidth="10" defaultColWidth="8.6640625" defaultRowHeight="15" x14ac:dyDescent="0.2"/>
  <cols>
    <col min="1" max="1" width="16" customWidth="1"/>
    <col min="2" max="2" width="14.33203125" customWidth="1"/>
    <col min="3" max="3" width="13.1640625" customWidth="1"/>
    <col min="4" max="4" width="13.5" customWidth="1"/>
    <col min="5" max="5" width="14.1640625" customWidth="1"/>
    <col min="6" max="6" width="14.5" customWidth="1"/>
    <col min="7" max="7" width="14.6640625" customWidth="1"/>
    <col min="8" max="10" width="13.1640625" customWidth="1"/>
    <col min="11" max="14" width="17.6640625" customWidth="1"/>
    <col min="15" max="17" width="13.5" customWidth="1"/>
  </cols>
  <sheetData>
    <row r="3" spans="1:10" x14ac:dyDescent="0.2">
      <c r="A3" s="126" t="s">
        <v>53</v>
      </c>
      <c r="B3" s="126"/>
      <c r="C3" s="126"/>
      <c r="D3" s="126"/>
      <c r="E3" s="126"/>
      <c r="F3" s="126"/>
      <c r="G3" s="126"/>
      <c r="H3" s="55">
        <v>2021</v>
      </c>
      <c r="I3" s="55">
        <v>2020</v>
      </c>
      <c r="J3" s="55">
        <v>2019</v>
      </c>
    </row>
    <row r="4" spans="1:10" x14ac:dyDescent="0.2">
      <c r="A4" s="143" t="s">
        <v>54</v>
      </c>
      <c r="B4" s="143"/>
      <c r="C4" s="143"/>
      <c r="D4" s="143"/>
      <c r="E4" s="143"/>
      <c r="F4" s="143"/>
      <c r="G4" s="143"/>
      <c r="H4" s="34"/>
      <c r="I4" s="34"/>
      <c r="J4" s="34"/>
    </row>
    <row r="5" spans="1:10" x14ac:dyDescent="0.2">
      <c r="A5" s="109" t="s">
        <v>55</v>
      </c>
      <c r="B5" s="109"/>
      <c r="C5" s="109"/>
      <c r="D5" s="109"/>
      <c r="E5" s="109"/>
      <c r="F5" s="109"/>
      <c r="G5" s="109"/>
      <c r="H5" s="22">
        <v>6038</v>
      </c>
      <c r="I5" s="22">
        <v>8566</v>
      </c>
      <c r="J5" s="22">
        <v>7034</v>
      </c>
    </row>
    <row r="6" spans="1:10" x14ac:dyDescent="0.2">
      <c r="A6" s="109" t="s">
        <v>56</v>
      </c>
      <c r="B6" s="109"/>
      <c r="C6" s="109"/>
      <c r="D6" s="109"/>
      <c r="E6" s="109"/>
      <c r="F6" s="109"/>
      <c r="G6" s="109"/>
      <c r="H6" s="22">
        <v>0</v>
      </c>
      <c r="I6" s="22">
        <v>3140</v>
      </c>
      <c r="J6" s="22">
        <v>3827</v>
      </c>
    </row>
    <row r="7" spans="1:10" x14ac:dyDescent="0.2">
      <c r="A7" s="109" t="s">
        <v>57</v>
      </c>
      <c r="B7" s="109"/>
      <c r="C7" s="109"/>
      <c r="D7" s="109"/>
      <c r="E7" s="109"/>
      <c r="F7" s="109"/>
      <c r="G7" s="109"/>
      <c r="H7" s="22">
        <v>6110</v>
      </c>
      <c r="I7" s="22">
        <v>5891</v>
      </c>
      <c r="J7" s="22">
        <v>5228</v>
      </c>
    </row>
    <row r="8" spans="1:10" x14ac:dyDescent="0.2">
      <c r="A8" s="109" t="s">
        <v>58</v>
      </c>
      <c r="B8" s="109"/>
      <c r="C8" s="109"/>
      <c r="D8" s="109"/>
      <c r="E8" s="109"/>
      <c r="F8" s="109"/>
      <c r="G8" s="109"/>
      <c r="H8" s="22">
        <v>5</v>
      </c>
      <c r="I8" s="22">
        <v>-7</v>
      </c>
      <c r="J8" s="22">
        <v>7</v>
      </c>
    </row>
    <row r="9" spans="1:10" x14ac:dyDescent="0.2">
      <c r="A9" s="109" t="s">
        <v>59</v>
      </c>
      <c r="B9" s="109"/>
      <c r="C9" s="109"/>
      <c r="D9" s="109"/>
      <c r="E9" s="109"/>
      <c r="F9" s="109"/>
      <c r="G9" s="109"/>
      <c r="H9" s="22">
        <v>443</v>
      </c>
      <c r="I9" s="22">
        <v>609</v>
      </c>
      <c r="J9" s="22">
        <v>858</v>
      </c>
    </row>
    <row r="10" spans="1:10" x14ac:dyDescent="0.2">
      <c r="A10" s="120" t="s">
        <v>60</v>
      </c>
      <c r="B10" s="120"/>
      <c r="C10" s="120"/>
      <c r="D10" s="120"/>
      <c r="E10" s="120"/>
      <c r="F10" s="120"/>
      <c r="G10" s="120"/>
      <c r="H10" s="22">
        <v>-70</v>
      </c>
      <c r="I10" s="22">
        <v>-727</v>
      </c>
      <c r="J10" s="22">
        <v>-62</v>
      </c>
    </row>
    <row r="11" spans="1:10" x14ac:dyDescent="0.2">
      <c r="A11" s="120" t="s">
        <v>61</v>
      </c>
      <c r="B11" s="120"/>
      <c r="C11" s="120"/>
      <c r="D11" s="120"/>
      <c r="E11" s="120"/>
      <c r="F11" s="120"/>
      <c r="G11" s="120"/>
      <c r="H11" s="22">
        <v>-310</v>
      </c>
      <c r="I11" s="22">
        <v>518</v>
      </c>
      <c r="J11" s="22">
        <v>88</v>
      </c>
    </row>
    <row r="12" spans="1:10" x14ac:dyDescent="0.2">
      <c r="A12" s="109" t="s">
        <v>62</v>
      </c>
      <c r="B12" s="109"/>
      <c r="C12" s="109"/>
      <c r="D12" s="109"/>
      <c r="E12" s="109"/>
      <c r="F12" s="109"/>
      <c r="G12" s="109"/>
      <c r="H12" s="22">
        <v>1639</v>
      </c>
      <c r="I12" s="22">
        <v>-4391</v>
      </c>
      <c r="J12" s="22">
        <v>712</v>
      </c>
    </row>
    <row r="13" spans="1:10" x14ac:dyDescent="0.2">
      <c r="A13" s="120" t="s">
        <v>63</v>
      </c>
      <c r="B13" s="120"/>
      <c r="C13" s="120"/>
      <c r="D13" s="120"/>
      <c r="E13" s="120"/>
      <c r="F13" s="120"/>
      <c r="G13" s="120"/>
      <c r="H13" s="22">
        <v>-128</v>
      </c>
      <c r="I13" s="22">
        <v>3628</v>
      </c>
      <c r="J13" s="22">
        <v>-2380</v>
      </c>
    </row>
    <row r="14" spans="1:10" x14ac:dyDescent="0.2">
      <c r="A14" s="109" t="s">
        <v>64</v>
      </c>
      <c r="B14" s="109"/>
      <c r="C14" s="109"/>
      <c r="D14" s="109"/>
      <c r="E14" s="109"/>
      <c r="F14" s="109"/>
      <c r="G14" s="109"/>
      <c r="H14" s="22">
        <v>2372</v>
      </c>
      <c r="I14" s="22">
        <v>-292</v>
      </c>
      <c r="J14" s="22">
        <v>686</v>
      </c>
    </row>
    <row r="15" spans="1:10" x14ac:dyDescent="0.2">
      <c r="A15" s="109" t="s">
        <v>65</v>
      </c>
      <c r="B15" s="109"/>
      <c r="C15" s="109"/>
      <c r="D15" s="109"/>
      <c r="E15" s="109"/>
      <c r="F15" s="109"/>
      <c r="G15" s="109"/>
      <c r="H15" s="22">
        <v>-1591</v>
      </c>
      <c r="I15" s="22">
        <v>-542</v>
      </c>
      <c r="J15" s="22">
        <v>0</v>
      </c>
    </row>
    <row r="16" spans="1:10" x14ac:dyDescent="0.2">
      <c r="A16" s="109" t="s">
        <v>66</v>
      </c>
      <c r="B16" s="109"/>
      <c r="C16" s="109"/>
      <c r="D16" s="109"/>
      <c r="E16" s="109"/>
      <c r="F16" s="109"/>
      <c r="G16" s="109"/>
      <c r="H16" s="22">
        <v>8470</v>
      </c>
      <c r="I16" s="22">
        <v>4687</v>
      </c>
      <c r="J16" s="22">
        <v>0</v>
      </c>
    </row>
    <row r="17" spans="1:10" x14ac:dyDescent="0.2">
      <c r="A17" s="120" t="s">
        <v>67</v>
      </c>
      <c r="B17" s="120"/>
      <c r="C17" s="120"/>
      <c r="D17" s="120"/>
      <c r="E17" s="120"/>
      <c r="F17" s="120"/>
      <c r="G17" s="120"/>
      <c r="H17" s="22">
        <v>0</v>
      </c>
      <c r="I17" s="22">
        <v>0</v>
      </c>
      <c r="J17" s="22">
        <v>0</v>
      </c>
    </row>
    <row r="18" spans="1:10" x14ac:dyDescent="0.2">
      <c r="A18" s="109" t="s">
        <v>68</v>
      </c>
      <c r="B18" s="109"/>
      <c r="C18" s="109"/>
      <c r="D18" s="109"/>
      <c r="E18" s="109"/>
      <c r="F18" s="109"/>
      <c r="G18" s="109"/>
      <c r="H18" s="22">
        <v>-2436</v>
      </c>
      <c r="I18" s="22">
        <v>-1547</v>
      </c>
      <c r="J18" s="22">
        <v>-1310</v>
      </c>
    </row>
    <row r="19" spans="1:10" x14ac:dyDescent="0.2">
      <c r="A19" s="129" t="s">
        <v>69</v>
      </c>
      <c r="B19" s="129"/>
      <c r="C19" s="129"/>
      <c r="D19" s="129"/>
      <c r="E19" s="129"/>
      <c r="F19" s="129"/>
      <c r="G19" s="129"/>
      <c r="H19" s="35">
        <v>12072</v>
      </c>
      <c r="I19" s="35">
        <v>11706</v>
      </c>
      <c r="J19" s="35">
        <v>10861</v>
      </c>
    </row>
    <row r="20" spans="1:10" x14ac:dyDescent="0.2">
      <c r="A20" s="115" t="s">
        <v>70</v>
      </c>
      <c r="B20" s="115"/>
      <c r="C20" s="115"/>
      <c r="D20" s="115"/>
      <c r="E20" s="115"/>
      <c r="F20" s="115"/>
      <c r="G20" s="115"/>
      <c r="H20" s="34"/>
      <c r="I20" s="34"/>
      <c r="J20" s="34"/>
    </row>
    <row r="21" spans="1:10" x14ac:dyDescent="0.2">
      <c r="A21" s="109" t="s">
        <v>71</v>
      </c>
      <c r="B21" s="109"/>
      <c r="C21" s="109"/>
      <c r="D21" s="109"/>
      <c r="E21" s="109"/>
      <c r="F21" s="109"/>
      <c r="G21" s="109"/>
      <c r="H21" s="22">
        <v>521</v>
      </c>
      <c r="I21" s="22">
        <v>1914</v>
      </c>
      <c r="J21" s="22">
        <v>511</v>
      </c>
    </row>
    <row r="22" spans="1:10" x14ac:dyDescent="0.2">
      <c r="A22" s="109" t="s">
        <v>72</v>
      </c>
      <c r="B22" s="109"/>
      <c r="C22" s="109"/>
      <c r="D22" s="109"/>
      <c r="E22" s="109"/>
      <c r="F22" s="109"/>
      <c r="G22" s="109"/>
      <c r="H22" s="22">
        <v>0</v>
      </c>
      <c r="I22" s="22">
        <v>0</v>
      </c>
      <c r="J22" s="22">
        <v>0</v>
      </c>
    </row>
    <row r="23" spans="1:10" x14ac:dyDescent="0.2">
      <c r="A23" s="109" t="s">
        <v>73</v>
      </c>
      <c r="B23" s="109"/>
      <c r="C23" s="109"/>
      <c r="D23" s="109"/>
      <c r="E23" s="109"/>
      <c r="F23" s="109"/>
      <c r="G23" s="109"/>
      <c r="H23" s="22">
        <v>-7050</v>
      </c>
      <c r="I23" s="22">
        <v>-11502</v>
      </c>
      <c r="J23" s="22">
        <v>-16569</v>
      </c>
    </row>
    <row r="24" spans="1:10" x14ac:dyDescent="0.2">
      <c r="A24" s="120" t="s">
        <v>74</v>
      </c>
      <c r="B24" s="120"/>
      <c r="C24" s="120"/>
      <c r="D24" s="120"/>
      <c r="E24" s="120"/>
      <c r="F24" s="120"/>
      <c r="G24" s="120"/>
      <c r="H24" s="22">
        <v>0</v>
      </c>
      <c r="I24" s="22">
        <v>0</v>
      </c>
      <c r="J24" s="22">
        <v>0</v>
      </c>
    </row>
    <row r="25" spans="1:10" x14ac:dyDescent="0.2">
      <c r="A25" s="109" t="s">
        <v>75</v>
      </c>
      <c r="B25" s="109"/>
      <c r="C25" s="109"/>
      <c r="D25" s="109"/>
      <c r="E25" s="109"/>
      <c r="F25" s="109"/>
      <c r="G25" s="109"/>
      <c r="H25" s="22">
        <v>40</v>
      </c>
      <c r="I25" s="22">
        <v>66</v>
      </c>
      <c r="J25" s="22">
        <v>66</v>
      </c>
    </row>
    <row r="26" spans="1:10" x14ac:dyDescent="0.2">
      <c r="A26" s="109" t="s">
        <v>76</v>
      </c>
      <c r="B26" s="109"/>
      <c r="C26" s="109"/>
      <c r="D26" s="109"/>
      <c r="E26" s="109"/>
      <c r="F26" s="109"/>
      <c r="G26" s="109"/>
      <c r="H26" s="22">
        <v>0</v>
      </c>
      <c r="I26" s="22">
        <v>0</v>
      </c>
      <c r="J26" s="22">
        <v>0</v>
      </c>
    </row>
    <row r="27" spans="1:10" x14ac:dyDescent="0.2">
      <c r="A27" s="109" t="s">
        <v>18</v>
      </c>
      <c r="B27" s="109"/>
      <c r="C27" s="109"/>
      <c r="D27" s="109"/>
      <c r="E27" s="109"/>
      <c r="F27" s="109"/>
      <c r="G27" s="109"/>
      <c r="H27" s="22">
        <v>0</v>
      </c>
      <c r="I27" s="22">
        <v>0</v>
      </c>
      <c r="J27" s="22">
        <v>0</v>
      </c>
    </row>
    <row r="28" spans="1:10" x14ac:dyDescent="0.2">
      <c r="A28" s="109" t="s">
        <v>77</v>
      </c>
      <c r="B28" s="109"/>
      <c r="C28" s="109"/>
      <c r="D28" s="109"/>
      <c r="E28" s="109"/>
      <c r="F28" s="109"/>
      <c r="G28" s="109"/>
      <c r="H28" s="22">
        <v>0</v>
      </c>
      <c r="I28" s="22">
        <v>0</v>
      </c>
      <c r="J28" s="22">
        <v>0</v>
      </c>
    </row>
    <row r="29" spans="1:10" x14ac:dyDescent="0.2">
      <c r="A29" s="129" t="s">
        <v>78</v>
      </c>
      <c r="B29" s="129"/>
      <c r="C29" s="129"/>
      <c r="D29" s="129"/>
      <c r="E29" s="129"/>
      <c r="F29" s="129"/>
      <c r="G29" s="129"/>
      <c r="H29" s="35">
        <v>-6489</v>
      </c>
      <c r="I29" s="35">
        <v>-9522</v>
      </c>
      <c r="J29" s="35">
        <v>-15992</v>
      </c>
    </row>
    <row r="30" spans="1:10" x14ac:dyDescent="0.2">
      <c r="A30" s="115" t="s">
        <v>79</v>
      </c>
      <c r="B30" s="115"/>
      <c r="C30" s="115"/>
      <c r="D30" s="115"/>
      <c r="E30" s="115"/>
      <c r="F30" s="115"/>
      <c r="G30" s="115"/>
      <c r="H30" s="34"/>
      <c r="I30" s="34"/>
      <c r="J30" s="34"/>
    </row>
    <row r="31" spans="1:10" x14ac:dyDescent="0.2">
      <c r="A31" s="109" t="s">
        <v>80</v>
      </c>
      <c r="B31" s="109"/>
      <c r="C31" s="109"/>
      <c r="D31" s="109"/>
      <c r="E31" s="109"/>
      <c r="F31" s="109"/>
      <c r="G31" s="109"/>
      <c r="H31" s="22">
        <v>20669</v>
      </c>
      <c r="I31" s="22">
        <v>3922</v>
      </c>
      <c r="J31" s="22">
        <v>15459</v>
      </c>
    </row>
    <row r="32" spans="1:10" x14ac:dyDescent="0.2">
      <c r="A32" s="109" t="s">
        <v>81</v>
      </c>
      <c r="B32" s="109"/>
      <c r="C32" s="109"/>
      <c r="D32" s="109"/>
      <c r="E32" s="109"/>
      <c r="F32" s="109"/>
      <c r="G32" s="109"/>
      <c r="H32" s="22">
        <v>12888</v>
      </c>
      <c r="I32" s="22">
        <v>0</v>
      </c>
      <c r="J32" s="22">
        <v>0</v>
      </c>
    </row>
    <row r="33" spans="1:11" x14ac:dyDescent="0.2">
      <c r="A33" s="120" t="s">
        <v>82</v>
      </c>
      <c r="B33" s="120"/>
      <c r="C33" s="120"/>
      <c r="D33" s="120"/>
      <c r="E33" s="120"/>
      <c r="F33" s="120"/>
      <c r="G33" s="120"/>
      <c r="H33" s="22">
        <v>-10495</v>
      </c>
      <c r="I33" s="22">
        <v>-10316</v>
      </c>
      <c r="J33" s="22">
        <v>-11490</v>
      </c>
    </row>
    <row r="34" spans="1:11" x14ac:dyDescent="0.2">
      <c r="A34" s="109" t="s">
        <v>83</v>
      </c>
      <c r="B34" s="109"/>
      <c r="C34" s="109"/>
      <c r="D34" s="109"/>
      <c r="E34" s="109"/>
      <c r="F34" s="109"/>
      <c r="G34" s="109"/>
      <c r="H34" s="22">
        <v>-1685</v>
      </c>
      <c r="I34" s="22">
        <v>-1686</v>
      </c>
      <c r="J34" s="22">
        <v>-1947</v>
      </c>
    </row>
    <row r="35" spans="1:11" x14ac:dyDescent="0.2">
      <c r="A35" s="109" t="s">
        <v>84</v>
      </c>
      <c r="B35" s="109"/>
      <c r="C35" s="109"/>
      <c r="D35" s="109"/>
      <c r="E35" s="109"/>
      <c r="F35" s="109"/>
      <c r="G35" s="109"/>
      <c r="H35" s="22">
        <v>-481</v>
      </c>
      <c r="I35" s="22">
        <v>-675</v>
      </c>
      <c r="J35" s="22">
        <v>-924</v>
      </c>
    </row>
    <row r="36" spans="1:11" x14ac:dyDescent="0.2">
      <c r="A36" s="109" t="s">
        <v>85</v>
      </c>
      <c r="B36" s="109"/>
      <c r="C36" s="109"/>
      <c r="D36" s="109"/>
      <c r="E36" s="109"/>
      <c r="F36" s="109"/>
      <c r="G36" s="109"/>
      <c r="H36" s="22">
        <v>-153</v>
      </c>
      <c r="I36" s="22">
        <v>0</v>
      </c>
      <c r="J36" s="22">
        <v>0</v>
      </c>
    </row>
    <row r="37" spans="1:11" x14ac:dyDescent="0.2">
      <c r="A37" s="109" t="s">
        <v>86</v>
      </c>
      <c r="B37" s="109"/>
      <c r="C37" s="109"/>
      <c r="D37" s="109"/>
      <c r="E37" s="109"/>
      <c r="F37" s="109"/>
      <c r="G37" s="109"/>
      <c r="H37" s="22">
        <v>-2775</v>
      </c>
      <c r="I37" s="22">
        <v>-2313</v>
      </c>
      <c r="J37" s="22">
        <v>-2313</v>
      </c>
    </row>
    <row r="38" spans="1:11" x14ac:dyDescent="0.2">
      <c r="A38" s="109" t="s">
        <v>87</v>
      </c>
      <c r="B38" s="109"/>
      <c r="C38" s="109"/>
      <c r="D38" s="109"/>
      <c r="E38" s="109"/>
      <c r="F38" s="109"/>
      <c r="G38" s="109"/>
      <c r="H38" s="22">
        <v>0</v>
      </c>
      <c r="I38" s="22">
        <v>0</v>
      </c>
      <c r="J38" s="22">
        <v>0</v>
      </c>
    </row>
    <row r="39" spans="1:11" x14ac:dyDescent="0.2">
      <c r="A39" s="109" t="s">
        <v>88</v>
      </c>
      <c r="B39" s="109"/>
      <c r="C39" s="109"/>
      <c r="D39" s="109"/>
      <c r="E39" s="109"/>
      <c r="F39" s="109"/>
      <c r="G39" s="109"/>
      <c r="H39" s="22">
        <v>2201</v>
      </c>
      <c r="I39" s="22">
        <v>8550</v>
      </c>
      <c r="J39" s="22">
        <v>0</v>
      </c>
    </row>
    <row r="40" spans="1:11" x14ac:dyDescent="0.2">
      <c r="A40" s="129" t="s">
        <v>89</v>
      </c>
      <c r="B40" s="129"/>
      <c r="C40" s="129"/>
      <c r="D40" s="129"/>
      <c r="E40" s="129"/>
      <c r="F40" s="129"/>
      <c r="G40" s="129"/>
      <c r="H40" s="35">
        <v>20169</v>
      </c>
      <c r="I40" s="35">
        <v>-2518</v>
      </c>
      <c r="J40" s="35">
        <v>5545</v>
      </c>
      <c r="K40" s="43"/>
    </row>
    <row r="41" spans="1:11" x14ac:dyDescent="0.2">
      <c r="A41" s="109" t="s">
        <v>90</v>
      </c>
      <c r="B41" s="109"/>
      <c r="C41" s="109"/>
      <c r="D41" s="109"/>
      <c r="E41" s="109"/>
      <c r="F41" s="109"/>
      <c r="G41" s="109"/>
      <c r="H41" s="22">
        <v>25752</v>
      </c>
      <c r="I41" s="22">
        <v>-334</v>
      </c>
      <c r="J41" s="22">
        <v>414</v>
      </c>
    </row>
    <row r="42" spans="1:11" x14ac:dyDescent="0.2">
      <c r="A42" s="109" t="s">
        <v>91</v>
      </c>
      <c r="B42" s="109"/>
      <c r="C42" s="109"/>
      <c r="D42" s="109"/>
      <c r="E42" s="109"/>
      <c r="F42" s="109"/>
      <c r="G42" s="109"/>
      <c r="H42" s="22">
        <v>374</v>
      </c>
      <c r="I42" s="22">
        <v>701</v>
      </c>
      <c r="J42" s="22">
        <v>294</v>
      </c>
    </row>
    <row r="43" spans="1:11" x14ac:dyDescent="0.2">
      <c r="A43" s="109" t="s">
        <v>92</v>
      </c>
      <c r="B43" s="109"/>
      <c r="C43" s="109"/>
      <c r="D43" s="109"/>
      <c r="E43" s="109"/>
      <c r="F43" s="109"/>
      <c r="G43" s="109"/>
      <c r="H43" s="22">
        <v>-5</v>
      </c>
      <c r="I43" s="22">
        <v>7</v>
      </c>
      <c r="J43" s="22">
        <v>-7</v>
      </c>
    </row>
    <row r="44" spans="1:11" x14ac:dyDescent="0.2">
      <c r="A44" s="109" t="s">
        <v>93</v>
      </c>
      <c r="B44" s="109"/>
      <c r="C44" s="109"/>
      <c r="D44" s="109"/>
      <c r="E44" s="109"/>
      <c r="F44" s="109"/>
      <c r="G44" s="109"/>
      <c r="H44" s="22">
        <v>26121</v>
      </c>
      <c r="I44" s="22">
        <v>374</v>
      </c>
      <c r="J44" s="22">
        <v>701</v>
      </c>
    </row>
    <row r="45" spans="1:11" x14ac:dyDescent="0.2">
      <c r="A45" s="109" t="s">
        <v>197</v>
      </c>
      <c r="B45" s="109"/>
      <c r="C45" s="109"/>
      <c r="D45" s="109"/>
      <c r="E45" s="109"/>
      <c r="F45" s="109"/>
      <c r="G45" s="109"/>
      <c r="H45" s="43">
        <f>H19+H29+H40</f>
        <v>25752</v>
      </c>
      <c r="I45" s="11">
        <f>I19+I29+I40</f>
        <v>-334</v>
      </c>
      <c r="J45" s="11">
        <f t="shared" ref="J45" si="0">J19+J29+J40</f>
        <v>414</v>
      </c>
    </row>
    <row r="49" spans="3:25" ht="45" customHeight="1" x14ac:dyDescent="0.2">
      <c r="C49" s="36" t="s">
        <v>198</v>
      </c>
      <c r="D49" s="37" t="s">
        <v>199</v>
      </c>
      <c r="E49" s="37" t="s">
        <v>200</v>
      </c>
      <c r="F49" s="37" t="s">
        <v>201</v>
      </c>
      <c r="G49" s="37" t="s">
        <v>202</v>
      </c>
      <c r="J49" s="36" t="s">
        <v>198</v>
      </c>
      <c r="K49" s="37" t="s">
        <v>199</v>
      </c>
      <c r="L49" s="37" t="s">
        <v>200</v>
      </c>
      <c r="M49" s="37" t="s">
        <v>201</v>
      </c>
      <c r="N49" s="37" t="s">
        <v>202</v>
      </c>
      <c r="P49" s="130" t="s">
        <v>318</v>
      </c>
      <c r="Q49" s="130"/>
      <c r="R49" s="130"/>
      <c r="S49" s="130"/>
      <c r="T49" s="130"/>
      <c r="U49" s="130"/>
      <c r="V49" s="130"/>
      <c r="W49" s="130"/>
      <c r="X49" s="130"/>
      <c r="Y49" s="130"/>
    </row>
    <row r="50" spans="3:25" ht="16" x14ac:dyDescent="0.2">
      <c r="C50" s="38">
        <v>2021</v>
      </c>
      <c r="D50" s="39" t="s">
        <v>203</v>
      </c>
      <c r="E50" s="40" t="s">
        <v>204</v>
      </c>
      <c r="F50" s="40" t="s">
        <v>205</v>
      </c>
      <c r="G50" s="40" t="s">
        <v>204</v>
      </c>
      <c r="J50" s="38">
        <v>2021</v>
      </c>
      <c r="K50" s="39" t="s">
        <v>203</v>
      </c>
      <c r="L50" s="97">
        <v>12072</v>
      </c>
      <c r="M50" s="97">
        <v>-6489</v>
      </c>
      <c r="N50" s="97">
        <v>20169</v>
      </c>
      <c r="P50" s="130"/>
      <c r="Q50" s="130"/>
      <c r="R50" s="130"/>
      <c r="S50" s="130"/>
      <c r="T50" s="130"/>
      <c r="U50" s="130"/>
      <c r="V50" s="130"/>
      <c r="W50" s="130"/>
      <c r="X50" s="130"/>
      <c r="Y50" s="130"/>
    </row>
    <row r="51" spans="3:25" ht="16" x14ac:dyDescent="0.2">
      <c r="C51" s="38">
        <v>2020</v>
      </c>
      <c r="D51" s="39" t="s">
        <v>206</v>
      </c>
      <c r="E51" s="40" t="s">
        <v>204</v>
      </c>
      <c r="F51" s="40" t="s">
        <v>205</v>
      </c>
      <c r="G51" s="40" t="s">
        <v>205</v>
      </c>
      <c r="J51" s="38">
        <v>2020</v>
      </c>
      <c r="K51" s="39" t="s">
        <v>206</v>
      </c>
      <c r="L51" s="97">
        <v>11706</v>
      </c>
      <c r="M51" s="97">
        <v>-9522</v>
      </c>
      <c r="N51" s="97">
        <v>-2518</v>
      </c>
      <c r="P51" s="130"/>
      <c r="Q51" s="130"/>
      <c r="R51" s="130"/>
      <c r="S51" s="130"/>
      <c r="T51" s="130"/>
      <c r="U51" s="130"/>
      <c r="V51" s="130"/>
      <c r="W51" s="130"/>
      <c r="X51" s="130"/>
      <c r="Y51" s="130"/>
    </row>
    <row r="52" spans="3:25" ht="16" x14ac:dyDescent="0.2">
      <c r="C52" s="38">
        <v>2019</v>
      </c>
      <c r="D52" s="39" t="s">
        <v>203</v>
      </c>
      <c r="E52" s="40" t="s">
        <v>204</v>
      </c>
      <c r="F52" s="40" t="s">
        <v>205</v>
      </c>
      <c r="G52" s="40" t="s">
        <v>204</v>
      </c>
      <c r="J52" s="38">
        <v>2019</v>
      </c>
      <c r="K52" s="39" t="s">
        <v>203</v>
      </c>
      <c r="L52" s="97">
        <v>10861</v>
      </c>
      <c r="M52" s="97">
        <v>-15992</v>
      </c>
      <c r="N52" s="97">
        <v>5545</v>
      </c>
      <c r="P52" s="130"/>
      <c r="Q52" s="130"/>
      <c r="R52" s="130"/>
      <c r="S52" s="130"/>
      <c r="T52" s="130"/>
      <c r="U52" s="130"/>
      <c r="V52" s="130"/>
      <c r="W52" s="130"/>
      <c r="X52" s="130"/>
      <c r="Y52" s="130"/>
    </row>
    <row r="53" spans="3:25" x14ac:dyDescent="0.2">
      <c r="C53" s="33"/>
      <c r="D53" s="33"/>
      <c r="E53" s="33"/>
      <c r="F53" s="33"/>
      <c r="G53" s="33"/>
    </row>
    <row r="54" spans="3:25" x14ac:dyDescent="0.2">
      <c r="C54" s="33"/>
      <c r="D54" s="33"/>
      <c r="E54" s="33"/>
      <c r="F54" s="33"/>
      <c r="G54" s="33"/>
    </row>
    <row r="55" spans="3:25" x14ac:dyDescent="0.2">
      <c r="C55" s="33"/>
      <c r="D55" s="33"/>
      <c r="E55" s="33"/>
      <c r="F55" s="33"/>
      <c r="G55" s="33"/>
      <c r="I55" s="74"/>
    </row>
    <row r="56" spans="3:25" ht="58.5" customHeight="1" x14ac:dyDescent="0.2">
      <c r="C56" s="36" t="s">
        <v>198</v>
      </c>
      <c r="D56" s="37" t="s">
        <v>207</v>
      </c>
      <c r="E56" s="37" t="s">
        <v>208</v>
      </c>
      <c r="F56" s="37" t="s">
        <v>209</v>
      </c>
      <c r="G56" s="33"/>
      <c r="J56" s="36" t="s">
        <v>198</v>
      </c>
      <c r="K56" s="37" t="s">
        <v>207</v>
      </c>
      <c r="L56" s="42" t="s">
        <v>208</v>
      </c>
      <c r="M56" s="42" t="s">
        <v>209</v>
      </c>
      <c r="P56" s="114" t="s">
        <v>210</v>
      </c>
      <c r="Q56" s="114"/>
      <c r="R56" s="114"/>
      <c r="S56" s="114"/>
      <c r="T56" s="114"/>
      <c r="U56" s="114"/>
      <c r="V56" s="114"/>
      <c r="W56" s="114"/>
      <c r="X56" s="114"/>
      <c r="Y56" s="114"/>
    </row>
    <row r="57" spans="3:25" ht="16" x14ac:dyDescent="0.2">
      <c r="C57" s="38">
        <v>2021</v>
      </c>
      <c r="D57" s="39" t="s">
        <v>211</v>
      </c>
      <c r="E57" s="40" t="s">
        <v>204</v>
      </c>
      <c r="F57" s="40" t="s">
        <v>204</v>
      </c>
      <c r="G57" s="33"/>
      <c r="J57" s="38">
        <v>2021</v>
      </c>
      <c r="K57" s="39" t="s">
        <v>211</v>
      </c>
      <c r="L57" s="41">
        <v>6038</v>
      </c>
      <c r="M57" s="97">
        <v>25752</v>
      </c>
      <c r="P57" s="114"/>
      <c r="Q57" s="114"/>
      <c r="R57" s="114"/>
      <c r="S57" s="114"/>
      <c r="T57" s="114"/>
      <c r="U57" s="114"/>
      <c r="V57" s="114"/>
      <c r="W57" s="114"/>
      <c r="X57" s="114"/>
      <c r="Y57" s="114"/>
    </row>
    <row r="58" spans="3:25" ht="16" x14ac:dyDescent="0.2">
      <c r="C58" s="38">
        <v>2020</v>
      </c>
      <c r="D58" s="39" t="s">
        <v>212</v>
      </c>
      <c r="E58" s="40" t="s">
        <v>204</v>
      </c>
      <c r="F58" s="40" t="s">
        <v>205</v>
      </c>
      <c r="G58" s="33"/>
      <c r="J58" s="38">
        <v>2020</v>
      </c>
      <c r="K58" s="39" t="s">
        <v>212</v>
      </c>
      <c r="L58" s="41">
        <v>8566</v>
      </c>
      <c r="M58" s="97">
        <v>-334</v>
      </c>
      <c r="P58" s="114"/>
      <c r="Q58" s="114"/>
      <c r="R58" s="114"/>
      <c r="S58" s="114"/>
      <c r="T58" s="114"/>
      <c r="U58" s="114"/>
      <c r="V58" s="114"/>
      <c r="W58" s="114"/>
      <c r="X58" s="114"/>
      <c r="Y58" s="114"/>
    </row>
    <row r="59" spans="3:25" ht="16" x14ac:dyDescent="0.2">
      <c r="C59" s="38">
        <v>2019</v>
      </c>
      <c r="D59" s="39" t="s">
        <v>211</v>
      </c>
      <c r="E59" s="40" t="s">
        <v>204</v>
      </c>
      <c r="F59" s="40" t="s">
        <v>204</v>
      </c>
      <c r="G59" s="33"/>
      <c r="J59" s="38">
        <v>2019</v>
      </c>
      <c r="K59" s="39" t="s">
        <v>211</v>
      </c>
      <c r="L59" s="41">
        <v>7034</v>
      </c>
      <c r="M59" s="97">
        <v>414</v>
      </c>
      <c r="P59" s="114"/>
      <c r="Q59" s="114"/>
      <c r="R59" s="114"/>
      <c r="S59" s="114"/>
      <c r="T59" s="114"/>
      <c r="U59" s="114"/>
      <c r="V59" s="114"/>
      <c r="W59" s="114"/>
      <c r="X59" s="114"/>
      <c r="Y59" s="114"/>
    </row>
    <row r="60" spans="3:25" x14ac:dyDescent="0.2">
      <c r="C60" s="33"/>
      <c r="D60" s="33"/>
      <c r="E60" s="33"/>
      <c r="F60" s="33"/>
      <c r="G60" s="33"/>
    </row>
    <row r="61" spans="3:25" x14ac:dyDescent="0.2">
      <c r="C61" s="33"/>
      <c r="D61" s="33"/>
      <c r="E61" s="33"/>
      <c r="F61" s="33"/>
      <c r="G61" s="33"/>
    </row>
    <row r="62" spans="3:25" x14ac:dyDescent="0.2">
      <c r="C62" s="33"/>
      <c r="D62" s="33"/>
      <c r="E62" s="33"/>
      <c r="F62" s="33"/>
      <c r="G62" s="33"/>
    </row>
    <row r="63" spans="3:25" x14ac:dyDescent="0.2">
      <c r="C63" s="33"/>
      <c r="D63" s="33"/>
      <c r="E63" s="33"/>
      <c r="F63" s="33"/>
      <c r="G63" s="33"/>
    </row>
    <row r="64" spans="3:25" ht="17" customHeight="1" x14ac:dyDescent="0.2"/>
    <row r="68" spans="3:10" x14ac:dyDescent="0.2">
      <c r="C68" s="33"/>
      <c r="D68" s="33"/>
      <c r="E68" s="33"/>
      <c r="F68" s="33"/>
      <c r="G68" s="33"/>
    </row>
    <row r="69" spans="3:10" x14ac:dyDescent="0.2">
      <c r="C69" s="33"/>
      <c r="D69" s="33"/>
      <c r="E69" s="33"/>
      <c r="F69" s="33"/>
      <c r="G69" s="33"/>
    </row>
    <row r="70" spans="3:10" x14ac:dyDescent="0.2">
      <c r="C70" s="33"/>
      <c r="D70" s="33"/>
      <c r="E70" s="33"/>
      <c r="F70" s="33"/>
      <c r="G70" s="33"/>
    </row>
    <row r="71" spans="3:10" x14ac:dyDescent="0.2">
      <c r="G71" s="33"/>
    </row>
    <row r="72" spans="3:10" x14ac:dyDescent="0.2">
      <c r="G72" s="33"/>
      <c r="H72" s="22"/>
      <c r="I72" s="22"/>
      <c r="J72" s="22"/>
    </row>
    <row r="73" spans="3:10" x14ac:dyDescent="0.2">
      <c r="G73" s="33"/>
    </row>
    <row r="74" spans="3:10" x14ac:dyDescent="0.2">
      <c r="G74" s="33"/>
    </row>
  </sheetData>
  <mergeCells count="45">
    <mergeCell ref="P49:Y52"/>
    <mergeCell ref="P56:Y59"/>
    <mergeCell ref="A14:G14"/>
    <mergeCell ref="A3:G3"/>
    <mergeCell ref="A4:G4"/>
    <mergeCell ref="A5:G5"/>
    <mergeCell ref="A6:G6"/>
    <mergeCell ref="A7:G7"/>
    <mergeCell ref="A8:G8"/>
    <mergeCell ref="A9:G9"/>
    <mergeCell ref="A10:G10"/>
    <mergeCell ref="A11:G11"/>
    <mergeCell ref="A12:G12"/>
    <mergeCell ref="A13:G13"/>
    <mergeCell ref="A26:G26"/>
    <mergeCell ref="A15:G15"/>
    <mergeCell ref="A16:G16"/>
    <mergeCell ref="A17:G17"/>
    <mergeCell ref="A18:G18"/>
    <mergeCell ref="A19:G19"/>
    <mergeCell ref="A20:G20"/>
    <mergeCell ref="A21:G21"/>
    <mergeCell ref="A22:G22"/>
    <mergeCell ref="A23:G23"/>
    <mergeCell ref="A24:G24"/>
    <mergeCell ref="A25:G25"/>
    <mergeCell ref="A38:G38"/>
    <mergeCell ref="A27:G27"/>
    <mergeCell ref="A28:G28"/>
    <mergeCell ref="A29:G29"/>
    <mergeCell ref="A30:G30"/>
    <mergeCell ref="A31:G31"/>
    <mergeCell ref="A32:G32"/>
    <mergeCell ref="A33:G33"/>
    <mergeCell ref="A34:G34"/>
    <mergeCell ref="A35:G35"/>
    <mergeCell ref="A36:G36"/>
    <mergeCell ref="A37:G37"/>
    <mergeCell ref="A45:G45"/>
    <mergeCell ref="A39:G39"/>
    <mergeCell ref="A40:G40"/>
    <mergeCell ref="A41:G41"/>
    <mergeCell ref="A42:G42"/>
    <mergeCell ref="A43:G43"/>
    <mergeCell ref="A44:G4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C7C52-C80C-4FDC-A93F-0364A085228D}">
  <dimension ref="A1:AE123"/>
  <sheetViews>
    <sheetView topLeftCell="N1" zoomScale="120" zoomScaleNormal="120" workbookViewId="0">
      <selection activeCell="AF24" sqref="AF24"/>
    </sheetView>
  </sheetViews>
  <sheetFormatPr baseColWidth="10" defaultColWidth="8.6640625" defaultRowHeight="15" x14ac:dyDescent="0.2"/>
  <cols>
    <col min="1" max="1" width="8.6640625" customWidth="1"/>
    <col min="12" max="12" width="37.6640625" bestFit="1" customWidth="1"/>
    <col min="13" max="15" width="9.5" bestFit="1" customWidth="1"/>
  </cols>
  <sheetData>
    <row r="1" spans="1:29" x14ac:dyDescent="0.2">
      <c r="A1" s="56" t="s">
        <v>9</v>
      </c>
      <c r="B1" s="56"/>
      <c r="C1" s="56"/>
      <c r="D1" s="56"/>
      <c r="E1" s="56"/>
      <c r="F1" s="56"/>
      <c r="G1" s="56"/>
      <c r="H1" s="56"/>
      <c r="I1" s="56"/>
      <c r="J1" s="56"/>
    </row>
    <row r="2" spans="1:29" x14ac:dyDescent="0.2">
      <c r="A2" s="26"/>
      <c r="B2" s="26"/>
      <c r="C2" s="26"/>
      <c r="D2" s="26"/>
      <c r="E2" s="26"/>
      <c r="F2" s="26"/>
      <c r="G2" s="26"/>
      <c r="H2" s="55">
        <v>2021</v>
      </c>
      <c r="I2" s="55">
        <v>2020</v>
      </c>
      <c r="J2" s="55">
        <v>2019</v>
      </c>
      <c r="L2" s="56" t="s">
        <v>213</v>
      </c>
    </row>
    <row r="3" spans="1:29" x14ac:dyDescent="0.2">
      <c r="A3" s="15" t="s">
        <v>10</v>
      </c>
      <c r="B3" s="15"/>
      <c r="C3" s="15"/>
      <c r="D3" s="15"/>
      <c r="E3" s="15"/>
      <c r="F3" s="15"/>
      <c r="G3" s="15"/>
      <c r="H3" s="15">
        <v>118828</v>
      </c>
      <c r="I3" s="15">
        <v>116891</v>
      </c>
      <c r="J3" s="15">
        <v>113267</v>
      </c>
      <c r="M3" s="55">
        <v>2021</v>
      </c>
      <c r="N3" s="55">
        <v>2020</v>
      </c>
      <c r="O3" s="55">
        <v>2019</v>
      </c>
    </row>
    <row r="4" spans="1:29" x14ac:dyDescent="0.2">
      <c r="A4" t="s">
        <v>11</v>
      </c>
      <c r="H4">
        <v>79465</v>
      </c>
      <c r="I4">
        <v>78249</v>
      </c>
      <c r="J4">
        <v>73444</v>
      </c>
      <c r="L4" s="15" t="s">
        <v>172</v>
      </c>
      <c r="M4">
        <f>H14</f>
        <v>63789</v>
      </c>
      <c r="N4">
        <f>I14</f>
        <v>38945</v>
      </c>
      <c r="O4">
        <f>J14</f>
        <v>38445</v>
      </c>
    </row>
    <row r="5" spans="1:29" x14ac:dyDescent="0.2">
      <c r="A5" t="s">
        <v>12</v>
      </c>
      <c r="H5">
        <v>3291</v>
      </c>
      <c r="I5">
        <v>2524</v>
      </c>
      <c r="J5">
        <v>4091</v>
      </c>
      <c r="L5" s="15" t="s">
        <v>174</v>
      </c>
      <c r="M5">
        <f>H38</f>
        <v>43720</v>
      </c>
      <c r="N5">
        <f>I38</f>
        <v>41415</v>
      </c>
      <c r="O5">
        <f>J38</f>
        <v>39897</v>
      </c>
    </row>
    <row r="6" spans="1:29" ht="14.5" customHeight="1" x14ac:dyDescent="0.2">
      <c r="A6" t="s">
        <v>13</v>
      </c>
      <c r="H6">
        <v>603</v>
      </c>
      <c r="I6">
        <v>603</v>
      </c>
      <c r="J6">
        <v>603</v>
      </c>
      <c r="L6" s="15" t="s">
        <v>22</v>
      </c>
      <c r="M6">
        <v>13408</v>
      </c>
      <c r="N6">
        <v>15046</v>
      </c>
      <c r="O6">
        <v>10655</v>
      </c>
      <c r="R6" s="81"/>
      <c r="S6" s="81"/>
      <c r="T6" s="81"/>
      <c r="U6" s="81"/>
      <c r="V6" s="81"/>
      <c r="W6" s="81"/>
      <c r="X6" s="81"/>
      <c r="Y6" s="81"/>
      <c r="Z6" s="81"/>
      <c r="AA6" s="81"/>
      <c r="AB6" s="81"/>
      <c r="AC6" s="81"/>
    </row>
    <row r="7" spans="1:29" ht="13.25" customHeight="1" x14ac:dyDescent="0.2">
      <c r="A7" t="s">
        <v>14</v>
      </c>
      <c r="H7">
        <v>0</v>
      </c>
      <c r="I7">
        <v>0</v>
      </c>
      <c r="J7">
        <v>0</v>
      </c>
      <c r="L7" s="15" t="s">
        <v>214</v>
      </c>
      <c r="M7">
        <f>SUM(H18:H20)</f>
        <v>28381</v>
      </c>
      <c r="N7">
        <f>SUM(I18:I20)</f>
        <v>2626</v>
      </c>
      <c r="O7">
        <f>SUM(J18:J20)</f>
        <v>2965</v>
      </c>
      <c r="Q7" s="144" t="s">
        <v>215</v>
      </c>
      <c r="R7" s="144"/>
      <c r="S7" s="144"/>
      <c r="T7" s="144"/>
      <c r="U7" s="144"/>
      <c r="V7" s="144"/>
      <c r="W7" s="144"/>
      <c r="X7" s="144"/>
      <c r="Y7" s="144"/>
      <c r="Z7" s="144"/>
      <c r="AA7" s="144"/>
      <c r="AB7" s="144"/>
      <c r="AC7" s="144"/>
    </row>
    <row r="8" spans="1:29" ht="14.5" customHeight="1" x14ac:dyDescent="0.2">
      <c r="A8" t="s">
        <v>15</v>
      </c>
      <c r="H8">
        <v>5325</v>
      </c>
      <c r="I8">
        <v>5390</v>
      </c>
      <c r="J8">
        <v>4944</v>
      </c>
      <c r="Q8" s="144"/>
      <c r="R8" s="144"/>
      <c r="S8" s="144"/>
      <c r="T8" s="144"/>
      <c r="U8" s="144"/>
      <c r="V8" s="144"/>
      <c r="W8" s="144"/>
      <c r="X8" s="144"/>
      <c r="Y8" s="144"/>
      <c r="Z8" s="144"/>
      <c r="AA8" s="144"/>
      <c r="AB8" s="144"/>
      <c r="AC8" s="144"/>
    </row>
    <row r="9" spans="1:29" x14ac:dyDescent="0.2">
      <c r="A9" t="s">
        <v>16</v>
      </c>
      <c r="H9">
        <v>30080</v>
      </c>
      <c r="I9">
        <v>30080</v>
      </c>
      <c r="J9">
        <v>30080</v>
      </c>
      <c r="L9" s="55" t="s">
        <v>216</v>
      </c>
      <c r="M9" s="66">
        <f>M4/M5</f>
        <v>1.4590347666971637</v>
      </c>
      <c r="N9" s="66">
        <f>N4/N5</f>
        <v>0.94035977302909579</v>
      </c>
      <c r="O9" s="66">
        <f>O4/O5</f>
        <v>0.96360628618693134</v>
      </c>
      <c r="Q9" s="144"/>
      <c r="R9" s="144"/>
      <c r="S9" s="144"/>
      <c r="T9" s="144"/>
      <c r="U9" s="144"/>
      <c r="V9" s="144"/>
      <c r="W9" s="144"/>
      <c r="X9" s="144"/>
      <c r="Y9" s="144"/>
      <c r="Z9" s="144"/>
      <c r="AA9" s="144"/>
      <c r="AB9" s="144"/>
      <c r="AC9" s="144"/>
    </row>
    <row r="10" spans="1:29" x14ac:dyDescent="0.2">
      <c r="A10" t="s">
        <v>17</v>
      </c>
      <c r="H10">
        <v>30080</v>
      </c>
      <c r="I10">
        <v>30080</v>
      </c>
      <c r="J10">
        <v>30080</v>
      </c>
      <c r="L10" s="55" t="s">
        <v>217</v>
      </c>
      <c r="M10" s="66">
        <f>(M4-M6)/M5</f>
        <v>1.1523559011893869</v>
      </c>
      <c r="N10" s="66">
        <f t="shared" ref="N10:O10" si="0">(N4-N6)/N5</f>
        <v>0.57706145116503682</v>
      </c>
      <c r="O10" s="66">
        <f t="shared" si="0"/>
        <v>0.69654359976940627</v>
      </c>
      <c r="Q10" s="114" t="s">
        <v>218</v>
      </c>
      <c r="R10" s="114"/>
      <c r="S10" s="114"/>
      <c r="T10" s="114"/>
      <c r="U10" s="114"/>
      <c r="V10" s="114"/>
      <c r="W10" s="114"/>
      <c r="X10" s="114"/>
      <c r="Y10" s="114"/>
      <c r="Z10" s="114"/>
      <c r="AA10" s="114"/>
      <c r="AB10" s="114"/>
      <c r="AC10" s="114"/>
    </row>
    <row r="11" spans="1:29" x14ac:dyDescent="0.2">
      <c r="A11" t="s">
        <v>18</v>
      </c>
      <c r="H11">
        <v>0</v>
      </c>
      <c r="I11">
        <v>0</v>
      </c>
      <c r="J11">
        <v>0</v>
      </c>
      <c r="L11" s="55" t="s">
        <v>219</v>
      </c>
      <c r="M11" s="66">
        <f>M7/M5</f>
        <v>0.64915370539798722</v>
      </c>
      <c r="N11" s="66">
        <f>N7/N5</f>
        <v>6.3406978148014007E-2</v>
      </c>
      <c r="O11" s="66">
        <f>O7/O5</f>
        <v>7.4316364638945281E-2</v>
      </c>
      <c r="Q11" s="114"/>
      <c r="R11" s="114"/>
      <c r="S11" s="114"/>
      <c r="T11" s="114"/>
      <c r="U11" s="114"/>
      <c r="V11" s="114"/>
      <c r="W11" s="114"/>
      <c r="X11" s="114"/>
      <c r="Y11" s="114"/>
      <c r="Z11" s="114"/>
      <c r="AA11" s="114"/>
      <c r="AB11" s="114"/>
      <c r="AC11" s="114"/>
    </row>
    <row r="12" spans="1:29" x14ac:dyDescent="0.2">
      <c r="A12" t="s">
        <v>19</v>
      </c>
      <c r="H12">
        <v>0</v>
      </c>
      <c r="I12">
        <v>0</v>
      </c>
      <c r="J12">
        <v>0</v>
      </c>
      <c r="Q12" s="145" t="s">
        <v>220</v>
      </c>
      <c r="R12" s="145"/>
      <c r="S12" s="145"/>
      <c r="T12" s="145"/>
      <c r="U12" s="145"/>
      <c r="V12" s="145"/>
      <c r="W12" s="145"/>
      <c r="X12" s="145"/>
      <c r="Y12" s="145"/>
      <c r="Z12" s="145"/>
      <c r="AA12" s="145"/>
      <c r="AB12" s="145"/>
      <c r="AC12" s="145"/>
    </row>
    <row r="13" spans="1:29" x14ac:dyDescent="0.2">
      <c r="A13" t="s">
        <v>20</v>
      </c>
      <c r="H13">
        <v>64</v>
      </c>
      <c r="I13">
        <v>45</v>
      </c>
      <c r="J13">
        <v>105</v>
      </c>
      <c r="L13" s="56" t="s">
        <v>221</v>
      </c>
    </row>
    <row r="14" spans="1:29" ht="14.5" customHeight="1" x14ac:dyDescent="0.2">
      <c r="A14" s="15" t="s">
        <v>21</v>
      </c>
      <c r="B14" s="15"/>
      <c r="C14" s="15"/>
      <c r="D14" s="15"/>
      <c r="E14" s="15"/>
      <c r="F14" s="15"/>
      <c r="G14" s="15"/>
      <c r="H14" s="15">
        <v>63789</v>
      </c>
      <c r="I14" s="15">
        <v>38945</v>
      </c>
      <c r="J14" s="15">
        <v>38445</v>
      </c>
      <c r="M14" s="55">
        <v>2021</v>
      </c>
      <c r="N14" s="55">
        <v>2020</v>
      </c>
      <c r="O14" s="55">
        <v>2019</v>
      </c>
      <c r="Q14" s="114" t="s">
        <v>222</v>
      </c>
      <c r="R14" s="114"/>
      <c r="S14" s="114"/>
      <c r="T14" s="114"/>
      <c r="U14" s="114"/>
      <c r="V14" s="114"/>
      <c r="W14" s="114"/>
      <c r="X14" s="114"/>
      <c r="Y14" s="114"/>
      <c r="Z14" s="114"/>
      <c r="AA14" s="114"/>
      <c r="AB14" s="114"/>
      <c r="AC14" s="114"/>
    </row>
    <row r="15" spans="1:29" x14ac:dyDescent="0.2">
      <c r="A15" t="s">
        <v>22</v>
      </c>
      <c r="H15">
        <v>13408</v>
      </c>
      <c r="I15">
        <v>15046</v>
      </c>
      <c r="J15">
        <v>10655</v>
      </c>
      <c r="L15" s="55" t="s">
        <v>223</v>
      </c>
      <c r="M15" s="89">
        <f>H67/(H31+H38+ABS(H71)+ABS(H85))</f>
        <v>0.12635280818906869</v>
      </c>
      <c r="N15" s="89">
        <f>I67/(I31+I38+ABS(I71)+ABS(I85))</f>
        <v>0.1332559251417253</v>
      </c>
      <c r="O15" s="89">
        <f>J67/(J31+J38+ABS(J71)+ABS(J85))</f>
        <v>0.1164993349637448</v>
      </c>
      <c r="Q15" s="114"/>
      <c r="R15" s="114"/>
      <c r="S15" s="114"/>
      <c r="T15" s="114"/>
      <c r="U15" s="114"/>
      <c r="V15" s="114"/>
      <c r="W15" s="114"/>
      <c r="X15" s="114"/>
      <c r="Y15" s="114"/>
      <c r="Z15" s="114"/>
      <c r="AA15" s="114"/>
      <c r="AB15" s="114"/>
      <c r="AC15" s="114"/>
    </row>
    <row r="16" spans="1:29" x14ac:dyDescent="0.2">
      <c r="A16" t="s">
        <v>23</v>
      </c>
      <c r="H16">
        <v>21446</v>
      </c>
      <c r="I16">
        <v>21273</v>
      </c>
      <c r="J16">
        <v>24825</v>
      </c>
    </row>
    <row r="17" spans="1:31" ht="14.75" customHeight="1" x14ac:dyDescent="0.2">
      <c r="A17" t="s">
        <v>24</v>
      </c>
      <c r="H17">
        <v>554</v>
      </c>
      <c r="I17">
        <v>0</v>
      </c>
      <c r="J17">
        <v>0</v>
      </c>
      <c r="L17" s="4" t="s">
        <v>224</v>
      </c>
      <c r="M17" s="11">
        <f>H67/(H31+H38)</f>
        <v>0.14083554020789341</v>
      </c>
      <c r="N17" s="11">
        <f>I67/(I31+I38)</f>
        <v>0.15812294849454958</v>
      </c>
      <c r="O17" s="11">
        <f>J67/(J31+J38)</f>
        <v>0.14608721383800069</v>
      </c>
      <c r="Q17" s="144" t="s">
        <v>225</v>
      </c>
      <c r="R17" s="144"/>
      <c r="S17" s="144"/>
      <c r="T17" s="144"/>
      <c r="U17" s="144"/>
      <c r="V17" s="144"/>
      <c r="W17" s="144"/>
      <c r="X17" s="144"/>
      <c r="Y17" s="144"/>
      <c r="Z17" s="144"/>
      <c r="AA17" s="144"/>
      <c r="AB17" s="144"/>
      <c r="AC17" s="144"/>
      <c r="AD17" s="144"/>
      <c r="AE17" s="144"/>
    </row>
    <row r="18" spans="1:31" x14ac:dyDescent="0.2">
      <c r="A18" t="s">
        <v>18</v>
      </c>
      <c r="H18">
        <v>2003</v>
      </c>
      <c r="I18">
        <v>2006</v>
      </c>
      <c r="J18">
        <v>2006</v>
      </c>
      <c r="L18" s="4" t="s">
        <v>226</v>
      </c>
      <c r="M18" s="11">
        <f>H67/ABS(H71)</f>
        <v>1.7123404255319148</v>
      </c>
      <c r="N18" s="11">
        <f>I67/ABS(I71)</f>
        <v>1.0177360459050599</v>
      </c>
      <c r="O18" s="11">
        <f>J67/ABS(J71)</f>
        <v>0.65550123725028664</v>
      </c>
      <c r="Q18" s="144"/>
      <c r="R18" s="144"/>
      <c r="S18" s="144"/>
      <c r="T18" s="144"/>
      <c r="U18" s="144"/>
      <c r="V18" s="144"/>
      <c r="W18" s="144"/>
      <c r="X18" s="144"/>
      <c r="Y18" s="144"/>
      <c r="Z18" s="144"/>
      <c r="AA18" s="144"/>
      <c r="AB18" s="144"/>
      <c r="AC18" s="144"/>
      <c r="AD18" s="144"/>
      <c r="AE18" s="144"/>
    </row>
    <row r="19" spans="1:31" x14ac:dyDescent="0.2">
      <c r="A19" t="s">
        <v>25</v>
      </c>
      <c r="H19">
        <v>26121</v>
      </c>
      <c r="I19">
        <v>374</v>
      </c>
      <c r="J19">
        <v>701</v>
      </c>
      <c r="L19" s="4" t="s">
        <v>227</v>
      </c>
      <c r="M19" s="11">
        <f>H67/ABS(H85)</f>
        <v>4.3502702702702702</v>
      </c>
      <c r="N19" s="11">
        <f>I67/ABS(I85)</f>
        <v>5.060959792477302</v>
      </c>
      <c r="O19" s="11">
        <f>J67/ABS(J85)</f>
        <v>4.6956333765672289</v>
      </c>
      <c r="Q19" s="144"/>
      <c r="R19" s="144"/>
      <c r="S19" s="144"/>
      <c r="T19" s="144"/>
      <c r="U19" s="144"/>
      <c r="V19" s="144"/>
      <c r="W19" s="144"/>
      <c r="X19" s="144"/>
      <c r="Y19" s="144"/>
      <c r="Z19" s="144"/>
      <c r="AA19" s="144"/>
      <c r="AB19" s="144"/>
      <c r="AC19" s="144"/>
      <c r="AD19" s="144"/>
      <c r="AE19" s="144"/>
    </row>
    <row r="20" spans="1:31" x14ac:dyDescent="0.2">
      <c r="A20" t="s">
        <v>26</v>
      </c>
      <c r="H20">
        <v>257</v>
      </c>
      <c r="I20">
        <v>246</v>
      </c>
      <c r="J20">
        <v>258</v>
      </c>
      <c r="Q20" s="144"/>
      <c r="R20" s="144"/>
      <c r="S20" s="144"/>
      <c r="T20" s="144"/>
      <c r="U20" s="144"/>
      <c r="V20" s="144"/>
      <c r="W20" s="144"/>
      <c r="X20" s="144"/>
      <c r="Y20" s="144"/>
      <c r="Z20" s="144"/>
      <c r="AA20" s="144"/>
      <c r="AB20" s="144"/>
      <c r="AC20" s="144"/>
      <c r="AD20" s="144"/>
      <c r="AE20" s="144"/>
    </row>
    <row r="21" spans="1:31" ht="14.75" customHeight="1" x14ac:dyDescent="0.2">
      <c r="A21" t="s">
        <v>27</v>
      </c>
      <c r="H21">
        <v>0</v>
      </c>
      <c r="I21">
        <v>0</v>
      </c>
      <c r="J21">
        <v>0</v>
      </c>
      <c r="L21" s="55" t="s">
        <v>228</v>
      </c>
      <c r="Q21" s="114" t="s">
        <v>319</v>
      </c>
      <c r="R21" s="114"/>
      <c r="S21" s="114"/>
      <c r="T21" s="114"/>
      <c r="U21" s="114"/>
      <c r="V21" s="114"/>
      <c r="W21" s="114"/>
      <c r="X21" s="114"/>
      <c r="Y21" s="114"/>
      <c r="Z21" s="114"/>
      <c r="AA21" s="114"/>
      <c r="AB21" s="114"/>
      <c r="AC21" s="114"/>
      <c r="AD21" s="114"/>
      <c r="AE21" s="114"/>
    </row>
    <row r="22" spans="1:31" x14ac:dyDescent="0.2">
      <c r="A22" s="55" t="s">
        <v>28</v>
      </c>
      <c r="B22" s="55"/>
      <c r="C22" s="55"/>
      <c r="D22" s="55"/>
      <c r="E22" s="55"/>
      <c r="F22" s="55"/>
      <c r="G22" s="55"/>
      <c r="H22" s="55">
        <v>182617</v>
      </c>
      <c r="I22" s="55">
        <v>155836</v>
      </c>
      <c r="J22" s="55">
        <v>151712</v>
      </c>
      <c r="L22" s="4" t="s">
        <v>229</v>
      </c>
      <c r="M22" s="57">
        <f>H67/H96</f>
        <v>7.7602998180777955E-2</v>
      </c>
      <c r="N22" s="57">
        <f>I67/I96</f>
        <v>6.804271124570592E-2</v>
      </c>
      <c r="O22" s="57">
        <f>J67/J96</f>
        <v>7.1807789700563965E-2</v>
      </c>
      <c r="Q22" s="114"/>
      <c r="R22" s="114"/>
      <c r="S22" s="114"/>
      <c r="T22" s="114"/>
      <c r="U22" s="114"/>
      <c r="V22" s="114"/>
      <c r="W22" s="114"/>
      <c r="X22" s="114"/>
      <c r="Y22" s="114"/>
      <c r="Z22" s="114"/>
      <c r="AA22" s="114"/>
      <c r="AB22" s="114"/>
      <c r="AC22" s="114"/>
      <c r="AD22" s="114"/>
      <c r="AE22" s="114"/>
    </row>
    <row r="23" spans="1:31" x14ac:dyDescent="0.2">
      <c r="L23" s="4" t="s">
        <v>230</v>
      </c>
      <c r="M23" s="57">
        <f>H67/H22</f>
        <v>6.610556519929689E-2</v>
      </c>
      <c r="N23" s="57">
        <f>I67/I22</f>
        <v>7.5117431145563282E-2</v>
      </c>
      <c r="O23" s="57">
        <f>J67/J22</f>
        <v>7.1589590803627923E-2</v>
      </c>
      <c r="Q23" s="114"/>
      <c r="R23" s="114"/>
      <c r="S23" s="114"/>
      <c r="T23" s="114"/>
      <c r="U23" s="114"/>
      <c r="V23" s="114"/>
      <c r="W23" s="114"/>
      <c r="X23" s="114"/>
      <c r="Y23" s="114"/>
      <c r="Z23" s="114"/>
      <c r="AA23" s="114"/>
      <c r="AB23" s="114"/>
      <c r="AC23" s="114"/>
      <c r="AD23" s="114"/>
      <c r="AE23" s="114"/>
    </row>
    <row r="24" spans="1:31" x14ac:dyDescent="0.2">
      <c r="A24" s="56" t="s">
        <v>29</v>
      </c>
      <c r="B24" s="56"/>
      <c r="C24" s="56"/>
      <c r="D24" s="56"/>
      <c r="E24" s="56"/>
      <c r="F24" s="56"/>
      <c r="G24" s="56"/>
      <c r="H24" s="56"/>
      <c r="I24" s="56"/>
      <c r="J24" s="56"/>
      <c r="L24" s="4" t="s">
        <v>231</v>
      </c>
      <c r="M24" s="57">
        <f>H67/H114</f>
        <v>2.3980929678188319</v>
      </c>
      <c r="N24" s="57">
        <f>I67/I114</f>
        <v>1.7337085308056872</v>
      </c>
      <c r="O24" s="57">
        <f>J67/J114</f>
        <v>1.9443250984604368</v>
      </c>
      <c r="Q24" s="114"/>
      <c r="R24" s="114"/>
      <c r="S24" s="114"/>
      <c r="T24" s="114"/>
      <c r="U24" s="114"/>
      <c r="V24" s="114"/>
      <c r="W24" s="114"/>
      <c r="X24" s="114"/>
      <c r="Y24" s="114"/>
      <c r="Z24" s="114"/>
      <c r="AA24" s="114"/>
      <c r="AB24" s="114"/>
      <c r="AC24" s="114"/>
      <c r="AD24" s="114"/>
      <c r="AE24" s="114"/>
    </row>
    <row r="25" spans="1:31" x14ac:dyDescent="0.2">
      <c r="A25" s="26"/>
      <c r="B25" s="55"/>
      <c r="C25" s="26"/>
      <c r="D25" s="55"/>
      <c r="E25" s="26"/>
      <c r="F25" s="55"/>
      <c r="G25" s="26"/>
      <c r="H25" s="55">
        <v>2021</v>
      </c>
      <c r="I25" s="55">
        <v>2020</v>
      </c>
      <c r="J25" s="55">
        <v>2019</v>
      </c>
      <c r="Q25" s="114"/>
      <c r="R25" s="114"/>
      <c r="S25" s="114"/>
      <c r="T25" s="114"/>
      <c r="U25" s="114"/>
      <c r="V25" s="114"/>
      <c r="W25" s="114"/>
      <c r="X25" s="114"/>
      <c r="Y25" s="114"/>
      <c r="Z25" s="114"/>
      <c r="AA25" s="114"/>
      <c r="AB25" s="114"/>
      <c r="AC25" s="114"/>
      <c r="AD25" s="114"/>
      <c r="AE25" s="114"/>
    </row>
    <row r="26" spans="1:31" x14ac:dyDescent="0.2">
      <c r="A26" s="15" t="s">
        <v>30</v>
      </c>
      <c r="B26" s="15"/>
      <c r="C26" s="15"/>
      <c r="D26" s="15"/>
      <c r="E26" s="15"/>
      <c r="F26" s="15"/>
      <c r="G26" s="15"/>
      <c r="H26" s="15">
        <v>96900</v>
      </c>
      <c r="I26" s="15">
        <v>81805</v>
      </c>
      <c r="J26" s="15">
        <v>77366</v>
      </c>
      <c r="Q26" s="114"/>
      <c r="R26" s="114"/>
      <c r="S26" s="114"/>
      <c r="T26" s="114"/>
      <c r="U26" s="114"/>
      <c r="V26" s="114"/>
      <c r="W26" s="114"/>
      <c r="X26" s="114"/>
      <c r="Y26" s="114"/>
      <c r="Z26" s="114"/>
      <c r="AA26" s="114"/>
      <c r="AB26" s="114"/>
      <c r="AC26" s="114"/>
      <c r="AD26" s="114"/>
      <c r="AE26" s="114"/>
    </row>
    <row r="27" spans="1:31" x14ac:dyDescent="0.2">
      <c r="A27" t="s">
        <v>31</v>
      </c>
      <c r="H27">
        <v>27750</v>
      </c>
      <c r="I27">
        <v>27750</v>
      </c>
      <c r="J27">
        <v>27750</v>
      </c>
      <c r="Q27" s="114"/>
      <c r="R27" s="114"/>
      <c r="S27" s="114"/>
      <c r="T27" s="114"/>
      <c r="U27" s="114"/>
      <c r="V27" s="114"/>
      <c r="W27" s="114"/>
      <c r="X27" s="114"/>
      <c r="Y27" s="114"/>
      <c r="Z27" s="114"/>
      <c r="AA27" s="114"/>
      <c r="AB27" s="114"/>
      <c r="AC27" s="114"/>
      <c r="AD27" s="114"/>
      <c r="AE27" s="114"/>
    </row>
    <row r="28" spans="1:31" x14ac:dyDescent="0.2">
      <c r="A28" t="s">
        <v>32</v>
      </c>
      <c r="H28">
        <v>39228</v>
      </c>
      <c r="I28">
        <v>35303</v>
      </c>
      <c r="J28">
        <v>32362</v>
      </c>
    </row>
    <row r="29" spans="1:31" x14ac:dyDescent="0.2">
      <c r="A29" t="s">
        <v>33</v>
      </c>
      <c r="H29">
        <v>24888</v>
      </c>
      <c r="I29">
        <v>12000</v>
      </c>
      <c r="J29">
        <v>12000</v>
      </c>
    </row>
    <row r="30" spans="1:31" x14ac:dyDescent="0.2">
      <c r="A30" t="s">
        <v>34</v>
      </c>
      <c r="H30">
        <v>5034</v>
      </c>
      <c r="I30">
        <v>6752</v>
      </c>
      <c r="J30">
        <v>5586</v>
      </c>
    </row>
    <row r="31" spans="1:31" x14ac:dyDescent="0.2">
      <c r="A31" s="15" t="s">
        <v>35</v>
      </c>
      <c r="B31" s="15"/>
      <c r="C31" s="15"/>
      <c r="D31" s="15"/>
      <c r="E31" s="15"/>
      <c r="F31" s="15"/>
      <c r="G31" s="15"/>
      <c r="H31" s="15">
        <v>41997</v>
      </c>
      <c r="I31" s="15">
        <v>32616</v>
      </c>
      <c r="J31" s="15">
        <v>34449</v>
      </c>
    </row>
    <row r="32" spans="1:31" x14ac:dyDescent="0.2">
      <c r="A32" t="s">
        <v>36</v>
      </c>
      <c r="H32">
        <v>3065</v>
      </c>
      <c r="I32">
        <v>2942</v>
      </c>
      <c r="J32">
        <v>3250</v>
      </c>
    </row>
    <row r="33" spans="1:10" x14ac:dyDescent="0.2">
      <c r="A33" t="s">
        <v>37</v>
      </c>
      <c r="H33">
        <v>18027</v>
      </c>
      <c r="I33">
        <v>7949</v>
      </c>
      <c r="J33">
        <v>14772</v>
      </c>
    </row>
    <row r="34" spans="1:10" x14ac:dyDescent="0.2">
      <c r="A34" t="s">
        <v>38</v>
      </c>
      <c r="H34">
        <v>215</v>
      </c>
      <c r="I34">
        <v>1104</v>
      </c>
      <c r="J34">
        <v>0</v>
      </c>
    </row>
    <row r="35" spans="1:10" x14ac:dyDescent="0.2">
      <c r="A35" t="s">
        <v>39</v>
      </c>
      <c r="H35">
        <v>345</v>
      </c>
      <c r="I35">
        <v>336</v>
      </c>
      <c r="J35">
        <v>300</v>
      </c>
    </row>
    <row r="36" spans="1:10" x14ac:dyDescent="0.2">
      <c r="A36" t="s">
        <v>40</v>
      </c>
      <c r="H36">
        <v>16777</v>
      </c>
      <c r="I36">
        <v>16944</v>
      </c>
      <c r="J36">
        <v>11711</v>
      </c>
    </row>
    <row r="37" spans="1:10" x14ac:dyDescent="0.2">
      <c r="A37" t="s">
        <v>41</v>
      </c>
      <c r="H37">
        <v>3568</v>
      </c>
      <c r="I37">
        <v>3341</v>
      </c>
      <c r="J37">
        <v>1141</v>
      </c>
    </row>
    <row r="38" spans="1:10" x14ac:dyDescent="0.2">
      <c r="A38" s="15" t="s">
        <v>42</v>
      </c>
      <c r="B38" s="15"/>
      <c r="C38" s="15"/>
      <c r="D38" s="15"/>
      <c r="E38" s="15"/>
      <c r="F38" s="15"/>
      <c r="G38" s="15"/>
      <c r="H38" s="15">
        <v>43720</v>
      </c>
      <c r="I38" s="15">
        <v>41415</v>
      </c>
      <c r="J38" s="15">
        <v>39897</v>
      </c>
    </row>
    <row r="39" spans="1:10" x14ac:dyDescent="0.2">
      <c r="A39" t="s">
        <v>43</v>
      </c>
      <c r="H39">
        <v>11432</v>
      </c>
      <c r="I39">
        <v>11336</v>
      </c>
      <c r="J39">
        <v>10907</v>
      </c>
    </row>
    <row r="40" spans="1:10" x14ac:dyDescent="0.2">
      <c r="A40" t="s">
        <v>44</v>
      </c>
      <c r="H40">
        <v>368</v>
      </c>
      <c r="I40">
        <v>368</v>
      </c>
      <c r="J40">
        <v>0</v>
      </c>
    </row>
    <row r="41" spans="1:10" x14ac:dyDescent="0.2">
      <c r="A41" t="s">
        <v>45</v>
      </c>
      <c r="H41">
        <v>1391</v>
      </c>
      <c r="I41">
        <v>1381</v>
      </c>
      <c r="J41">
        <v>685</v>
      </c>
    </row>
    <row r="42" spans="1:10" x14ac:dyDescent="0.2">
      <c r="A42" t="s">
        <v>46</v>
      </c>
      <c r="H42">
        <v>28365</v>
      </c>
      <c r="I42">
        <v>24999</v>
      </c>
      <c r="J42">
        <v>25411</v>
      </c>
    </row>
    <row r="43" spans="1:10" x14ac:dyDescent="0.2">
      <c r="A43" t="s">
        <v>47</v>
      </c>
      <c r="H43">
        <v>0</v>
      </c>
      <c r="I43">
        <v>1001</v>
      </c>
      <c r="J43">
        <v>426</v>
      </c>
    </row>
    <row r="44" spans="1:10" x14ac:dyDescent="0.2">
      <c r="A44" t="s">
        <v>48</v>
      </c>
      <c r="H44">
        <v>1302</v>
      </c>
      <c r="I44">
        <v>1149</v>
      </c>
      <c r="J44">
        <v>885</v>
      </c>
    </row>
    <row r="45" spans="1:10" x14ac:dyDescent="0.2">
      <c r="A45" t="s">
        <v>49</v>
      </c>
      <c r="H45">
        <v>862</v>
      </c>
      <c r="I45">
        <v>1181</v>
      </c>
      <c r="J45">
        <v>699</v>
      </c>
    </row>
    <row r="46" spans="1:10" x14ac:dyDescent="0.2">
      <c r="A46" t="s">
        <v>50</v>
      </c>
      <c r="H46">
        <v>0</v>
      </c>
      <c r="I46">
        <v>0</v>
      </c>
      <c r="J46">
        <v>0</v>
      </c>
    </row>
    <row r="47" spans="1:10" x14ac:dyDescent="0.2">
      <c r="A47" s="15" t="s">
        <v>51</v>
      </c>
      <c r="B47" s="15"/>
      <c r="C47" s="15"/>
      <c r="D47" s="15"/>
      <c r="E47" s="15"/>
      <c r="F47" s="15"/>
      <c r="G47" s="15"/>
      <c r="H47" s="15">
        <v>85717</v>
      </c>
      <c r="I47" s="15">
        <v>74031</v>
      </c>
      <c r="J47" s="15">
        <v>74346</v>
      </c>
    </row>
    <row r="48" spans="1:10" x14ac:dyDescent="0.2">
      <c r="A48" s="55" t="s">
        <v>52</v>
      </c>
      <c r="B48" s="55"/>
      <c r="C48" s="55"/>
      <c r="D48" s="55"/>
      <c r="E48" s="55"/>
      <c r="F48" s="55"/>
      <c r="G48" s="55"/>
      <c r="H48" s="55">
        <v>182617</v>
      </c>
      <c r="I48" s="55">
        <v>155836</v>
      </c>
      <c r="J48" s="55">
        <v>151712</v>
      </c>
    </row>
    <row r="50" spans="1:10" x14ac:dyDescent="0.2">
      <c r="A50" s="56" t="s">
        <v>53</v>
      </c>
      <c r="B50" s="56"/>
      <c r="C50" s="56"/>
      <c r="D50" s="56"/>
      <c r="E50" s="56"/>
      <c r="F50" s="56"/>
      <c r="G50" s="56"/>
      <c r="H50" s="56"/>
      <c r="I50" s="56"/>
      <c r="J50" s="56"/>
    </row>
    <row r="51" spans="1:10" x14ac:dyDescent="0.2">
      <c r="A51" s="55"/>
      <c r="B51" s="55"/>
      <c r="C51" s="55"/>
      <c r="D51" s="55"/>
      <c r="E51" s="55"/>
      <c r="F51" s="55"/>
      <c r="G51" s="55"/>
      <c r="H51" s="55">
        <v>2021</v>
      </c>
      <c r="I51" s="55">
        <v>2020</v>
      </c>
      <c r="J51" s="55">
        <v>2019</v>
      </c>
    </row>
    <row r="52" spans="1:10" x14ac:dyDescent="0.2">
      <c r="A52" s="15" t="s">
        <v>54</v>
      </c>
      <c r="B52" s="15"/>
      <c r="C52" s="15"/>
      <c r="D52" s="15"/>
      <c r="E52" s="15"/>
      <c r="F52" s="15"/>
      <c r="G52" s="15"/>
      <c r="H52" s="15"/>
      <c r="I52" s="15"/>
      <c r="J52" s="15"/>
    </row>
    <row r="53" spans="1:10" x14ac:dyDescent="0.2">
      <c r="A53" t="s">
        <v>55</v>
      </c>
      <c r="H53">
        <v>6038</v>
      </c>
      <c r="I53">
        <v>8566</v>
      </c>
      <c r="J53">
        <v>7034</v>
      </c>
    </row>
    <row r="54" spans="1:10" x14ac:dyDescent="0.2">
      <c r="A54" t="s">
        <v>56</v>
      </c>
      <c r="I54">
        <v>3140</v>
      </c>
      <c r="J54">
        <v>3827</v>
      </c>
    </row>
    <row r="55" spans="1:10" x14ac:dyDescent="0.2">
      <c r="A55" t="s">
        <v>57</v>
      </c>
      <c r="H55">
        <v>6110</v>
      </c>
      <c r="I55">
        <v>5891</v>
      </c>
      <c r="J55">
        <v>5228</v>
      </c>
    </row>
    <row r="56" spans="1:10" x14ac:dyDescent="0.2">
      <c r="A56" t="s">
        <v>58</v>
      </c>
      <c r="H56">
        <v>5</v>
      </c>
      <c r="I56">
        <v>-7</v>
      </c>
      <c r="J56">
        <v>7</v>
      </c>
    </row>
    <row r="57" spans="1:10" x14ac:dyDescent="0.2">
      <c r="A57" t="s">
        <v>59</v>
      </c>
      <c r="H57">
        <v>443</v>
      </c>
      <c r="I57">
        <v>609</v>
      </c>
      <c r="J57">
        <v>858</v>
      </c>
    </row>
    <row r="58" spans="1:10" x14ac:dyDescent="0.2">
      <c r="A58" t="s">
        <v>60</v>
      </c>
      <c r="H58">
        <v>-70</v>
      </c>
      <c r="I58">
        <v>-727</v>
      </c>
      <c r="J58">
        <v>-62</v>
      </c>
    </row>
    <row r="59" spans="1:10" x14ac:dyDescent="0.2">
      <c r="A59" t="s">
        <v>61</v>
      </c>
      <c r="H59">
        <v>-310</v>
      </c>
      <c r="I59">
        <v>518</v>
      </c>
      <c r="J59">
        <v>88</v>
      </c>
    </row>
    <row r="60" spans="1:10" x14ac:dyDescent="0.2">
      <c r="A60" t="s">
        <v>62</v>
      </c>
      <c r="H60">
        <v>1639</v>
      </c>
      <c r="I60">
        <v>-4391</v>
      </c>
      <c r="J60">
        <v>712</v>
      </c>
    </row>
    <row r="61" spans="1:10" x14ac:dyDescent="0.2">
      <c r="A61" t="s">
        <v>63</v>
      </c>
      <c r="H61">
        <v>-128</v>
      </c>
      <c r="I61">
        <v>3628</v>
      </c>
      <c r="J61">
        <v>-2380</v>
      </c>
    </row>
    <row r="62" spans="1:10" x14ac:dyDescent="0.2">
      <c r="A62" t="s">
        <v>64</v>
      </c>
      <c r="H62">
        <v>2372</v>
      </c>
      <c r="I62">
        <v>-292</v>
      </c>
      <c r="J62">
        <v>686</v>
      </c>
    </row>
    <row r="63" spans="1:10" x14ac:dyDescent="0.2">
      <c r="A63" t="s">
        <v>65</v>
      </c>
      <c r="H63">
        <v>-1591</v>
      </c>
      <c r="I63">
        <v>-542</v>
      </c>
      <c r="J63">
        <v>0</v>
      </c>
    </row>
    <row r="64" spans="1:10" x14ac:dyDescent="0.2">
      <c r="A64" t="s">
        <v>66</v>
      </c>
      <c r="H64">
        <v>8470</v>
      </c>
      <c r="I64">
        <v>4687</v>
      </c>
      <c r="J64">
        <v>0</v>
      </c>
    </row>
    <row r="65" spans="1:10" x14ac:dyDescent="0.2">
      <c r="A65" t="s">
        <v>67</v>
      </c>
      <c r="H65">
        <v>0</v>
      </c>
      <c r="I65">
        <v>0</v>
      </c>
      <c r="J65">
        <v>0</v>
      </c>
    </row>
    <row r="66" spans="1:10" x14ac:dyDescent="0.2">
      <c r="A66" t="s">
        <v>68</v>
      </c>
      <c r="H66">
        <v>-2436</v>
      </c>
      <c r="I66">
        <v>-1547</v>
      </c>
      <c r="J66">
        <v>-1310</v>
      </c>
    </row>
    <row r="67" spans="1:10" x14ac:dyDescent="0.2">
      <c r="A67" s="58" t="s">
        <v>69</v>
      </c>
      <c r="B67" s="58"/>
      <c r="C67" s="58"/>
      <c r="D67" s="58"/>
      <c r="E67" s="58"/>
      <c r="F67" s="58"/>
      <c r="G67" s="58"/>
      <c r="H67" s="58">
        <v>12072</v>
      </c>
      <c r="I67" s="58">
        <v>11706</v>
      </c>
      <c r="J67" s="58">
        <v>10861</v>
      </c>
    </row>
    <row r="68" spans="1:10" x14ac:dyDescent="0.2">
      <c r="A68" s="15" t="s">
        <v>70</v>
      </c>
      <c r="B68" s="15"/>
      <c r="C68" s="15"/>
      <c r="D68" s="15"/>
      <c r="E68" s="15"/>
      <c r="F68" s="15"/>
      <c r="G68" s="15"/>
      <c r="H68" s="15"/>
      <c r="I68" s="15"/>
      <c r="J68" s="15"/>
    </row>
    <row r="69" spans="1:10" x14ac:dyDescent="0.2">
      <c r="A69" t="s">
        <v>71</v>
      </c>
      <c r="H69">
        <v>521</v>
      </c>
      <c r="I69">
        <v>1914</v>
      </c>
      <c r="J69">
        <v>511</v>
      </c>
    </row>
    <row r="70" spans="1:10" x14ac:dyDescent="0.2">
      <c r="A70" t="s">
        <v>72</v>
      </c>
      <c r="H70">
        <v>0</v>
      </c>
      <c r="I70">
        <v>0</v>
      </c>
      <c r="J70">
        <v>0</v>
      </c>
    </row>
    <row r="71" spans="1:10" x14ac:dyDescent="0.2">
      <c r="A71" t="s">
        <v>73</v>
      </c>
      <c r="H71">
        <v>-7050</v>
      </c>
      <c r="I71">
        <v>-11502</v>
      </c>
      <c r="J71">
        <v>-16569</v>
      </c>
    </row>
    <row r="72" spans="1:10" x14ac:dyDescent="0.2">
      <c r="A72" t="s">
        <v>74</v>
      </c>
      <c r="H72">
        <v>0</v>
      </c>
      <c r="I72">
        <v>0</v>
      </c>
      <c r="J72">
        <v>0</v>
      </c>
    </row>
    <row r="73" spans="1:10" x14ac:dyDescent="0.2">
      <c r="A73" t="s">
        <v>75</v>
      </c>
      <c r="H73">
        <v>40</v>
      </c>
      <c r="I73">
        <v>66</v>
      </c>
      <c r="J73">
        <v>66</v>
      </c>
    </row>
    <row r="74" spans="1:10" x14ac:dyDescent="0.2">
      <c r="A74" t="s">
        <v>76</v>
      </c>
      <c r="H74">
        <v>0</v>
      </c>
      <c r="I74">
        <v>0</v>
      </c>
      <c r="J74">
        <v>0</v>
      </c>
    </row>
    <row r="75" spans="1:10" x14ac:dyDescent="0.2">
      <c r="A75" t="s">
        <v>18</v>
      </c>
      <c r="H75">
        <v>0</v>
      </c>
      <c r="I75">
        <v>0</v>
      </c>
      <c r="J75">
        <v>0</v>
      </c>
    </row>
    <row r="76" spans="1:10" x14ac:dyDescent="0.2">
      <c r="A76" t="s">
        <v>77</v>
      </c>
      <c r="H76">
        <v>0</v>
      </c>
      <c r="I76">
        <v>0</v>
      </c>
      <c r="J76">
        <v>0</v>
      </c>
    </row>
    <row r="77" spans="1:10" x14ac:dyDescent="0.2">
      <c r="A77" s="58" t="s">
        <v>78</v>
      </c>
      <c r="B77" s="58"/>
      <c r="C77" s="58"/>
      <c r="D77" s="58"/>
      <c r="E77" s="58"/>
      <c r="F77" s="58"/>
      <c r="G77" s="58"/>
      <c r="H77" s="58">
        <v>-6489</v>
      </c>
      <c r="I77" s="58">
        <v>-9522</v>
      </c>
      <c r="J77" s="58">
        <v>-15992</v>
      </c>
    </row>
    <row r="78" spans="1:10" x14ac:dyDescent="0.2">
      <c r="A78" s="15" t="s">
        <v>79</v>
      </c>
      <c r="B78" s="15"/>
      <c r="C78" s="15"/>
      <c r="D78" s="15"/>
      <c r="E78" s="15"/>
      <c r="F78" s="15"/>
      <c r="G78" s="15"/>
      <c r="H78" s="15"/>
      <c r="I78" s="15"/>
      <c r="J78" s="15"/>
    </row>
    <row r="79" spans="1:10" x14ac:dyDescent="0.2">
      <c r="A79" t="s">
        <v>80</v>
      </c>
      <c r="H79">
        <v>20669</v>
      </c>
      <c r="I79">
        <v>3922</v>
      </c>
      <c r="J79">
        <v>15459</v>
      </c>
    </row>
    <row r="80" spans="1:10" x14ac:dyDescent="0.2">
      <c r="A80" t="s">
        <v>81</v>
      </c>
      <c r="H80">
        <v>12888</v>
      </c>
      <c r="I80">
        <v>0</v>
      </c>
      <c r="J80">
        <v>0</v>
      </c>
    </row>
    <row r="81" spans="1:10" x14ac:dyDescent="0.2">
      <c r="A81" t="s">
        <v>82</v>
      </c>
      <c r="H81">
        <v>-10495</v>
      </c>
      <c r="I81">
        <v>-10316</v>
      </c>
      <c r="J81">
        <v>-11490</v>
      </c>
    </row>
    <row r="82" spans="1:10" x14ac:dyDescent="0.2">
      <c r="A82" t="s">
        <v>83</v>
      </c>
      <c r="H82">
        <v>-1685</v>
      </c>
      <c r="I82">
        <v>-1686</v>
      </c>
      <c r="J82">
        <v>-1947</v>
      </c>
    </row>
    <row r="83" spans="1:10" x14ac:dyDescent="0.2">
      <c r="A83" t="s">
        <v>84</v>
      </c>
      <c r="H83">
        <v>-481</v>
      </c>
      <c r="I83">
        <v>-675</v>
      </c>
      <c r="J83">
        <v>-924</v>
      </c>
    </row>
    <row r="84" spans="1:10" x14ac:dyDescent="0.2">
      <c r="A84" t="s">
        <v>85</v>
      </c>
      <c r="H84">
        <v>-153</v>
      </c>
      <c r="I84">
        <v>0</v>
      </c>
      <c r="J84">
        <v>0</v>
      </c>
    </row>
    <row r="85" spans="1:10" x14ac:dyDescent="0.2">
      <c r="A85" t="s">
        <v>86</v>
      </c>
      <c r="H85">
        <v>-2775</v>
      </c>
      <c r="I85">
        <v>-2313</v>
      </c>
      <c r="J85">
        <v>-2313</v>
      </c>
    </row>
    <row r="86" spans="1:10" x14ac:dyDescent="0.2">
      <c r="A86" t="s">
        <v>87</v>
      </c>
      <c r="H86">
        <v>0</v>
      </c>
      <c r="I86">
        <v>0</v>
      </c>
      <c r="J86">
        <v>0</v>
      </c>
    </row>
    <row r="87" spans="1:10" x14ac:dyDescent="0.2">
      <c r="A87" t="s">
        <v>88</v>
      </c>
      <c r="H87">
        <v>2201</v>
      </c>
      <c r="I87">
        <v>8550</v>
      </c>
      <c r="J87">
        <v>0</v>
      </c>
    </row>
    <row r="88" spans="1:10" x14ac:dyDescent="0.2">
      <c r="A88" s="58" t="s">
        <v>89</v>
      </c>
      <c r="B88" s="58"/>
      <c r="C88" s="58"/>
      <c r="D88" s="58"/>
      <c r="E88" s="58"/>
      <c r="F88" s="58"/>
      <c r="G88" s="58"/>
      <c r="H88" s="58">
        <v>20169</v>
      </c>
      <c r="I88" s="58">
        <v>-2518</v>
      </c>
      <c r="J88" s="58">
        <v>5545</v>
      </c>
    </row>
    <row r="89" spans="1:10" x14ac:dyDescent="0.2">
      <c r="A89" t="s">
        <v>90</v>
      </c>
      <c r="H89">
        <v>25752</v>
      </c>
      <c r="I89">
        <v>-334</v>
      </c>
      <c r="J89">
        <v>414</v>
      </c>
    </row>
    <row r="90" spans="1:10" x14ac:dyDescent="0.2">
      <c r="A90" t="s">
        <v>91</v>
      </c>
      <c r="H90">
        <v>374</v>
      </c>
      <c r="I90">
        <v>701</v>
      </c>
      <c r="J90">
        <v>294</v>
      </c>
    </row>
    <row r="91" spans="1:10" x14ac:dyDescent="0.2">
      <c r="A91" t="s">
        <v>92</v>
      </c>
      <c r="H91">
        <v>-5</v>
      </c>
      <c r="I91">
        <v>7</v>
      </c>
      <c r="J91">
        <v>-7</v>
      </c>
    </row>
    <row r="92" spans="1:10" x14ac:dyDescent="0.2">
      <c r="A92" t="s">
        <v>93</v>
      </c>
      <c r="H92">
        <v>26121</v>
      </c>
      <c r="I92">
        <v>374</v>
      </c>
      <c r="J92">
        <v>701</v>
      </c>
    </row>
    <row r="94" spans="1:10" x14ac:dyDescent="0.2">
      <c r="A94" s="56" t="s">
        <v>94</v>
      </c>
      <c r="B94" s="56"/>
      <c r="C94" s="56"/>
      <c r="D94" s="56"/>
      <c r="E94" s="56"/>
      <c r="F94" s="56"/>
      <c r="G94" s="56"/>
      <c r="H94" s="56"/>
      <c r="I94" s="56"/>
      <c r="J94" s="56"/>
    </row>
    <row r="95" spans="1:10" x14ac:dyDescent="0.2">
      <c r="A95" s="55"/>
      <c r="B95" s="55"/>
      <c r="C95" s="55"/>
      <c r="D95" s="55"/>
      <c r="E95" s="55"/>
      <c r="F95" s="55"/>
      <c r="G95" s="55"/>
      <c r="H95" s="55">
        <v>2021</v>
      </c>
      <c r="I95" s="55">
        <v>2020</v>
      </c>
      <c r="J95" s="55">
        <v>2019</v>
      </c>
    </row>
    <row r="96" spans="1:10" x14ac:dyDescent="0.2">
      <c r="A96" t="s">
        <v>95</v>
      </c>
      <c r="H96">
        <v>155561</v>
      </c>
      <c r="I96">
        <v>172039</v>
      </c>
      <c r="J96">
        <v>151251</v>
      </c>
    </row>
    <row r="97" spans="1:10" x14ac:dyDescent="0.2">
      <c r="A97" t="s">
        <v>96</v>
      </c>
    </row>
    <row r="98" spans="1:10" x14ac:dyDescent="0.2">
      <c r="A98" t="s">
        <v>97</v>
      </c>
      <c r="H98">
        <v>121620</v>
      </c>
      <c r="I98">
        <v>136468</v>
      </c>
      <c r="J98">
        <v>120110</v>
      </c>
    </row>
    <row r="99" spans="1:10" x14ac:dyDescent="0.2">
      <c r="A99" t="s">
        <v>98</v>
      </c>
      <c r="H99">
        <v>33941</v>
      </c>
      <c r="I99">
        <v>35571</v>
      </c>
      <c r="J99">
        <v>31141</v>
      </c>
    </row>
    <row r="100" spans="1:10" x14ac:dyDescent="0.2">
      <c r="A100" t="s">
        <v>99</v>
      </c>
      <c r="H100">
        <v>128560</v>
      </c>
      <c r="I100">
        <v>138246</v>
      </c>
      <c r="J100">
        <v>118314</v>
      </c>
    </row>
    <row r="101" spans="1:10" x14ac:dyDescent="0.2">
      <c r="A101" t="s">
        <v>100</v>
      </c>
    </row>
    <row r="102" spans="1:10" x14ac:dyDescent="0.2">
      <c r="A102" t="s">
        <v>101</v>
      </c>
      <c r="H102">
        <v>97794</v>
      </c>
      <c r="I102">
        <v>105979</v>
      </c>
      <c r="J102">
        <v>90576</v>
      </c>
    </row>
    <row r="103" spans="1:10" x14ac:dyDescent="0.2">
      <c r="A103" t="s">
        <v>102</v>
      </c>
      <c r="H103">
        <v>30766</v>
      </c>
      <c r="I103">
        <v>32267</v>
      </c>
      <c r="J103">
        <v>27738</v>
      </c>
    </row>
    <row r="104" spans="1:10" x14ac:dyDescent="0.2">
      <c r="A104" t="s">
        <v>103</v>
      </c>
      <c r="H104">
        <v>27001</v>
      </c>
      <c r="I104">
        <v>33793</v>
      </c>
      <c r="J104">
        <v>32937</v>
      </c>
    </row>
    <row r="105" spans="1:10" x14ac:dyDescent="0.2">
      <c r="A105" t="s">
        <v>104</v>
      </c>
      <c r="H105">
        <v>19447</v>
      </c>
      <c r="I105">
        <v>20496</v>
      </c>
      <c r="J105">
        <v>20157</v>
      </c>
    </row>
    <row r="106" spans="1:10" x14ac:dyDescent="0.2">
      <c r="A106" t="s">
        <v>105</v>
      </c>
      <c r="H106">
        <v>5016</v>
      </c>
      <c r="I106">
        <v>4990</v>
      </c>
      <c r="J106">
        <v>5137</v>
      </c>
    </row>
    <row r="107" spans="1:10" x14ac:dyDescent="0.2">
      <c r="A107" t="s">
        <v>106</v>
      </c>
      <c r="H107">
        <v>785</v>
      </c>
      <c r="I107">
        <v>877</v>
      </c>
      <c r="J107">
        <v>741</v>
      </c>
    </row>
    <row r="108" spans="1:10" x14ac:dyDescent="0.2">
      <c r="A108" t="s">
        <v>107</v>
      </c>
      <c r="H108">
        <v>4246</v>
      </c>
      <c r="I108">
        <v>2466</v>
      </c>
      <c r="J108">
        <v>1162</v>
      </c>
    </row>
    <row r="109" spans="1:10" x14ac:dyDescent="0.2">
      <c r="A109" t="s">
        <v>108</v>
      </c>
      <c r="H109">
        <v>5999</v>
      </c>
      <c r="I109">
        <v>9896</v>
      </c>
      <c r="J109">
        <v>8064</v>
      </c>
    </row>
    <row r="110" spans="1:10" x14ac:dyDescent="0.2">
      <c r="A110" t="s">
        <v>109</v>
      </c>
      <c r="H110">
        <v>885</v>
      </c>
      <c r="I110">
        <v>158</v>
      </c>
      <c r="J110">
        <v>110</v>
      </c>
    </row>
    <row r="111" spans="1:10" x14ac:dyDescent="0.2">
      <c r="A111" t="s">
        <v>110</v>
      </c>
      <c r="H111">
        <v>846</v>
      </c>
      <c r="I111">
        <v>1488</v>
      </c>
      <c r="J111">
        <v>1140</v>
      </c>
    </row>
    <row r="112" spans="1:10" x14ac:dyDescent="0.2">
      <c r="A112" t="s">
        <v>111</v>
      </c>
      <c r="H112">
        <v>6038</v>
      </c>
      <c r="I112">
        <v>8566</v>
      </c>
      <c r="J112">
        <v>7034</v>
      </c>
    </row>
    <row r="113" spans="1:10" x14ac:dyDescent="0.2">
      <c r="A113" t="s">
        <v>112</v>
      </c>
      <c r="H113">
        <v>1004</v>
      </c>
      <c r="I113">
        <v>1814</v>
      </c>
      <c r="J113">
        <v>1448</v>
      </c>
    </row>
    <row r="114" spans="1:10" x14ac:dyDescent="0.2">
      <c r="A114" t="s">
        <v>113</v>
      </c>
      <c r="H114">
        <v>5034</v>
      </c>
      <c r="I114">
        <v>6752</v>
      </c>
      <c r="J114">
        <v>5586</v>
      </c>
    </row>
    <row r="115" spans="1:10" x14ac:dyDescent="0.2">
      <c r="A115" t="s">
        <v>114</v>
      </c>
    </row>
    <row r="116" spans="1:10" x14ac:dyDescent="0.2">
      <c r="A116" t="s">
        <v>115</v>
      </c>
      <c r="H116">
        <v>5034</v>
      </c>
      <c r="I116">
        <v>6752</v>
      </c>
      <c r="J116">
        <v>5586</v>
      </c>
    </row>
    <row r="117" spans="1:10" x14ac:dyDescent="0.2">
      <c r="A117" t="s">
        <v>116</v>
      </c>
      <c r="H117">
        <v>0</v>
      </c>
      <c r="I117">
        <v>0</v>
      </c>
      <c r="J117">
        <v>0</v>
      </c>
    </row>
    <row r="118" spans="1:10" x14ac:dyDescent="0.2">
      <c r="A118" t="s">
        <v>117</v>
      </c>
      <c r="H118">
        <v>0.54</v>
      </c>
      <c r="I118">
        <v>0.73</v>
      </c>
      <c r="J118">
        <v>0.6</v>
      </c>
    </row>
    <row r="119" spans="1:10" x14ac:dyDescent="0.2">
      <c r="A119" t="s">
        <v>118</v>
      </c>
      <c r="H119">
        <v>0.54</v>
      </c>
      <c r="I119">
        <v>0.73</v>
      </c>
      <c r="J119">
        <v>0.6</v>
      </c>
    </row>
    <row r="120" spans="1:10" x14ac:dyDescent="0.2">
      <c r="A120" t="s">
        <v>119</v>
      </c>
      <c r="H120">
        <v>0</v>
      </c>
      <c r="I120">
        <v>0</v>
      </c>
      <c r="J120">
        <v>0</v>
      </c>
    </row>
    <row r="121" spans="1:10" x14ac:dyDescent="0.2">
      <c r="A121" t="s">
        <v>120</v>
      </c>
      <c r="H121">
        <v>5034</v>
      </c>
      <c r="I121">
        <v>6752</v>
      </c>
      <c r="J121">
        <v>5586</v>
      </c>
    </row>
    <row r="122" spans="1:10" x14ac:dyDescent="0.2">
      <c r="A122" t="s">
        <v>115</v>
      </c>
      <c r="H122">
        <v>5034</v>
      </c>
      <c r="I122">
        <v>6752</v>
      </c>
      <c r="J122">
        <v>5586</v>
      </c>
    </row>
    <row r="123" spans="1:10" x14ac:dyDescent="0.2">
      <c r="A123" t="s">
        <v>116</v>
      </c>
      <c r="H123">
        <v>0</v>
      </c>
      <c r="I123">
        <v>0</v>
      </c>
      <c r="J123">
        <v>0</v>
      </c>
    </row>
  </sheetData>
  <mergeCells count="6">
    <mergeCell ref="Q21:AE27"/>
    <mergeCell ref="Q7:AC9"/>
    <mergeCell ref="Q10:AC11"/>
    <mergeCell ref="Q12:AC12"/>
    <mergeCell ref="Q14:AC15"/>
    <mergeCell ref="Q17:AE2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6A857-A25B-495D-A55A-AB3FED57A43B}">
  <dimension ref="A2:AJ127"/>
  <sheetViews>
    <sheetView topLeftCell="Z1" zoomScale="120" zoomScaleNormal="120" workbookViewId="0">
      <selection activeCell="L41" sqref="L41:M41"/>
    </sheetView>
  </sheetViews>
  <sheetFormatPr baseColWidth="10" defaultColWidth="8.6640625" defaultRowHeight="15" x14ac:dyDescent="0.2"/>
  <cols>
    <col min="1" max="5" width="12.5" customWidth="1"/>
    <col min="6" max="8" width="16.6640625" customWidth="1"/>
    <col min="9" max="10" width="16.5" customWidth="1"/>
    <col min="13" max="13" width="14.5" customWidth="1"/>
    <col min="14" max="14" width="29.33203125" customWidth="1"/>
    <col min="15" max="15" width="35" customWidth="1"/>
    <col min="20" max="20" width="9.6640625" customWidth="1"/>
    <col min="21" max="21" width="12.5" customWidth="1"/>
    <col min="22" max="22" width="13.5" customWidth="1"/>
    <col min="23" max="23" width="12.1640625" customWidth="1"/>
    <col min="24" max="24" width="10.6640625" customWidth="1"/>
    <col min="25" max="25" width="7.5" customWidth="1"/>
    <col min="26" max="26" width="9.5" customWidth="1"/>
    <col min="27" max="27" width="9.1640625" customWidth="1"/>
  </cols>
  <sheetData>
    <row r="2" spans="1:36" x14ac:dyDescent="0.2">
      <c r="A2" s="126" t="s">
        <v>157</v>
      </c>
      <c r="B2" s="126"/>
      <c r="C2" s="126"/>
      <c r="D2" s="126"/>
      <c r="E2" s="126"/>
      <c r="F2" s="126"/>
      <c r="G2" s="126"/>
      <c r="H2" s="55">
        <v>2021</v>
      </c>
      <c r="I2" s="55">
        <v>2020</v>
      </c>
      <c r="J2" s="55">
        <v>2019</v>
      </c>
      <c r="M2" s="33"/>
      <c r="N2" s="33"/>
      <c r="O2" s="33"/>
      <c r="P2" s="45">
        <v>2021</v>
      </c>
      <c r="Q2" s="45">
        <v>2020</v>
      </c>
      <c r="R2" s="45">
        <v>2019</v>
      </c>
      <c r="S2" s="46"/>
    </row>
    <row r="3" spans="1:36" ht="14.75" customHeight="1" x14ac:dyDescent="0.2">
      <c r="M3" s="33"/>
      <c r="N3" s="33"/>
      <c r="O3" s="33"/>
      <c r="P3" s="33"/>
      <c r="Q3" s="33"/>
      <c r="R3" s="33"/>
      <c r="S3" s="33"/>
    </row>
    <row r="4" spans="1:36" ht="15" customHeight="1" x14ac:dyDescent="0.2">
      <c r="A4" s="131" t="s">
        <v>9</v>
      </c>
      <c r="B4" s="131"/>
      <c r="C4" s="131"/>
      <c r="D4" s="131"/>
      <c r="E4" s="131"/>
      <c r="F4" s="131"/>
      <c r="G4" s="131"/>
      <c r="H4" s="71"/>
      <c r="I4" s="71"/>
      <c r="J4" s="71"/>
      <c r="M4" s="146" t="s">
        <v>232</v>
      </c>
      <c r="N4" s="151" t="s">
        <v>233</v>
      </c>
      <c r="O4" s="151"/>
      <c r="P4" s="78">
        <f>H48/H24</f>
        <v>0.46938127337542507</v>
      </c>
      <c r="Q4" s="78">
        <f>I48/I24</f>
        <v>0.47505711132215922</v>
      </c>
      <c r="R4" s="78">
        <f>J48/J24</f>
        <v>0.49004693102720948</v>
      </c>
      <c r="S4" s="93" t="s">
        <v>161</v>
      </c>
      <c r="T4" s="114" t="s">
        <v>234</v>
      </c>
      <c r="U4" s="114"/>
      <c r="V4" s="114"/>
      <c r="W4" s="114"/>
      <c r="X4" s="114"/>
      <c r="Y4" s="114"/>
      <c r="Z4" s="114"/>
      <c r="AA4" s="114"/>
      <c r="AB4" s="80"/>
      <c r="AC4" s="114" t="s">
        <v>235</v>
      </c>
      <c r="AD4" s="114"/>
      <c r="AE4" s="114"/>
      <c r="AF4" s="114"/>
      <c r="AG4" s="114"/>
      <c r="AH4" s="114"/>
      <c r="AI4" s="114"/>
      <c r="AJ4" s="114"/>
    </row>
    <row r="5" spans="1:36" ht="15" customHeight="1" x14ac:dyDescent="0.2">
      <c r="A5" s="116" t="s">
        <v>10</v>
      </c>
      <c r="B5" s="116"/>
      <c r="C5" s="116"/>
      <c r="D5" s="116"/>
      <c r="E5" s="116"/>
      <c r="F5" s="116"/>
      <c r="G5" s="116"/>
      <c r="H5" s="17">
        <v>118828</v>
      </c>
      <c r="I5" s="17">
        <v>116891</v>
      </c>
      <c r="J5" s="17">
        <v>113267</v>
      </c>
      <c r="M5" s="146"/>
      <c r="N5" s="33"/>
      <c r="O5" s="33"/>
      <c r="P5" s="44"/>
      <c r="Q5" s="44"/>
      <c r="R5" s="44"/>
      <c r="S5" s="44"/>
      <c r="T5" s="114"/>
      <c r="U5" s="114"/>
      <c r="V5" s="114"/>
      <c r="W5" s="114"/>
      <c r="X5" s="114"/>
      <c r="Y5" s="114"/>
      <c r="Z5" s="114"/>
      <c r="AA5" s="114"/>
      <c r="AB5" s="80"/>
      <c r="AC5" s="114"/>
      <c r="AD5" s="114"/>
      <c r="AE5" s="114"/>
      <c r="AF5" s="114"/>
      <c r="AG5" s="114"/>
      <c r="AH5" s="114"/>
      <c r="AI5" s="114"/>
      <c r="AJ5" s="114"/>
    </row>
    <row r="6" spans="1:36" ht="15" customHeight="1" x14ac:dyDescent="0.2">
      <c r="A6" s="109" t="s">
        <v>11</v>
      </c>
      <c r="B6" s="109"/>
      <c r="C6" s="109"/>
      <c r="D6" s="109"/>
      <c r="E6" s="109"/>
      <c r="F6" s="109"/>
      <c r="G6" s="109"/>
      <c r="H6" s="2">
        <v>79465</v>
      </c>
      <c r="I6" s="2">
        <v>78249</v>
      </c>
      <c r="J6" s="2">
        <v>73444</v>
      </c>
      <c r="M6" s="146"/>
      <c r="N6" s="151" t="s">
        <v>236</v>
      </c>
      <c r="O6" s="151"/>
      <c r="P6" s="78">
        <f>H48/H27</f>
        <v>0.88459236326109392</v>
      </c>
      <c r="Q6" s="78">
        <f>I48/I27</f>
        <v>0.90496913391601985</v>
      </c>
      <c r="R6" s="78">
        <f>J48/J27</f>
        <v>0.96096476488379912</v>
      </c>
      <c r="S6" s="51" t="s">
        <v>161</v>
      </c>
      <c r="T6" s="114" t="s">
        <v>237</v>
      </c>
      <c r="U6" s="114"/>
      <c r="V6" s="114"/>
      <c r="W6" s="114"/>
      <c r="X6" s="114"/>
      <c r="Y6" s="114"/>
      <c r="Z6" s="114"/>
      <c r="AA6" s="114"/>
      <c r="AB6" s="80"/>
      <c r="AC6" s="114"/>
      <c r="AD6" s="114"/>
      <c r="AE6" s="114"/>
      <c r="AF6" s="114"/>
      <c r="AG6" s="114"/>
      <c r="AH6" s="114"/>
      <c r="AI6" s="114"/>
      <c r="AJ6" s="114"/>
    </row>
    <row r="7" spans="1:36" ht="15" customHeight="1" x14ac:dyDescent="0.2">
      <c r="A7" s="109" t="s">
        <v>12</v>
      </c>
      <c r="B7" s="109"/>
      <c r="C7" s="109"/>
      <c r="D7" s="109"/>
      <c r="E7" s="109"/>
      <c r="F7" s="109"/>
      <c r="G7" s="109"/>
      <c r="H7" s="2">
        <v>3291</v>
      </c>
      <c r="I7" s="2">
        <v>2524</v>
      </c>
      <c r="J7" s="2">
        <v>4091</v>
      </c>
      <c r="M7" s="146"/>
      <c r="N7" s="33"/>
      <c r="O7" s="33"/>
      <c r="P7" s="44"/>
      <c r="Q7" s="44"/>
      <c r="R7" s="44"/>
      <c r="S7" s="44"/>
      <c r="T7" s="114"/>
      <c r="U7" s="114"/>
      <c r="V7" s="114"/>
      <c r="W7" s="114"/>
      <c r="X7" s="114"/>
      <c r="Y7" s="114"/>
      <c r="Z7" s="114"/>
      <c r="AA7" s="114"/>
      <c r="AB7" s="80"/>
      <c r="AC7" s="114"/>
      <c r="AD7" s="114"/>
      <c r="AE7" s="114"/>
      <c r="AF7" s="114"/>
      <c r="AG7" s="114"/>
      <c r="AH7" s="114"/>
      <c r="AI7" s="114"/>
      <c r="AJ7" s="114"/>
    </row>
    <row r="8" spans="1:36" ht="15" customHeight="1" x14ac:dyDescent="0.2">
      <c r="A8" s="109" t="s">
        <v>13</v>
      </c>
      <c r="B8" s="109"/>
      <c r="C8" s="109"/>
      <c r="D8" s="109"/>
      <c r="E8" s="109"/>
      <c r="F8" s="109"/>
      <c r="G8" s="109"/>
      <c r="H8" s="2">
        <v>603</v>
      </c>
      <c r="I8" s="2">
        <v>603</v>
      </c>
      <c r="J8" s="2">
        <v>603</v>
      </c>
      <c r="M8" s="146"/>
      <c r="N8" s="151" t="s">
        <v>238</v>
      </c>
      <c r="O8" s="151"/>
      <c r="P8" s="78">
        <f>H32/H27</f>
        <v>0.43340557275541797</v>
      </c>
      <c r="Q8" s="78">
        <f>I32/I27</f>
        <v>0.39870423568241548</v>
      </c>
      <c r="R8" s="78">
        <f>J32/J27</f>
        <v>0.44527311739006797</v>
      </c>
      <c r="S8" s="51" t="s">
        <v>161</v>
      </c>
      <c r="T8" s="114" t="s">
        <v>239</v>
      </c>
      <c r="U8" s="114"/>
      <c r="V8" s="114"/>
      <c r="W8" s="114"/>
      <c r="X8" s="114"/>
      <c r="Y8" s="114"/>
      <c r="Z8" s="114"/>
      <c r="AA8" s="114"/>
      <c r="AB8" s="80"/>
      <c r="AC8" s="114"/>
      <c r="AD8" s="114"/>
      <c r="AE8" s="114"/>
      <c r="AF8" s="114"/>
      <c r="AG8" s="114"/>
      <c r="AH8" s="114"/>
      <c r="AI8" s="114"/>
      <c r="AJ8" s="114"/>
    </row>
    <row r="9" spans="1:36" ht="15" customHeight="1" x14ac:dyDescent="0.2">
      <c r="A9" s="109" t="s">
        <v>14</v>
      </c>
      <c r="B9" s="109"/>
      <c r="C9" s="109"/>
      <c r="D9" s="109"/>
      <c r="E9" s="109"/>
      <c r="F9" s="109"/>
      <c r="G9" s="109"/>
      <c r="H9" s="2">
        <v>0</v>
      </c>
      <c r="I9" s="2">
        <v>0</v>
      </c>
      <c r="J9" s="2">
        <v>0</v>
      </c>
      <c r="M9" s="146"/>
      <c r="N9" s="33"/>
      <c r="O9" s="33"/>
      <c r="P9" s="44" t="s">
        <v>240</v>
      </c>
      <c r="Q9" s="44"/>
      <c r="R9" s="44"/>
      <c r="S9" s="44"/>
      <c r="T9" s="114"/>
      <c r="U9" s="114"/>
      <c r="V9" s="114"/>
      <c r="W9" s="114"/>
      <c r="X9" s="114"/>
      <c r="Y9" s="114"/>
      <c r="Z9" s="114"/>
      <c r="AA9" s="114"/>
      <c r="AB9" s="80"/>
      <c r="AC9" s="114"/>
      <c r="AD9" s="114"/>
      <c r="AE9" s="114"/>
      <c r="AF9" s="114"/>
      <c r="AG9" s="114"/>
      <c r="AH9" s="114"/>
      <c r="AI9" s="114"/>
      <c r="AJ9" s="114"/>
    </row>
    <row r="10" spans="1:36" ht="15" customHeight="1" x14ac:dyDescent="0.2">
      <c r="A10" s="109" t="s">
        <v>15</v>
      </c>
      <c r="B10" s="109"/>
      <c r="C10" s="109"/>
      <c r="D10" s="109"/>
      <c r="E10" s="109"/>
      <c r="F10" s="109"/>
      <c r="G10" s="109"/>
      <c r="H10" s="2">
        <v>5325</v>
      </c>
      <c r="I10" s="2">
        <v>5390</v>
      </c>
      <c r="J10" s="2">
        <v>4944</v>
      </c>
      <c r="M10" s="146"/>
      <c r="N10" s="151" t="s">
        <v>241</v>
      </c>
      <c r="O10" s="151"/>
      <c r="P10" s="50">
        <f>(H115+ABS(H84))/ABS(H84)</f>
        <v>13.553014553014552</v>
      </c>
      <c r="Q10" s="50">
        <f>(I115+ABS(I84))/ABS(I84)</f>
        <v>13.690370370370371</v>
      </c>
      <c r="R10" s="50">
        <f>(J115+ABS(J84))/ABS(J84)</f>
        <v>8.612554112554113</v>
      </c>
      <c r="S10" s="51" t="s">
        <v>161</v>
      </c>
      <c r="T10" s="114" t="s">
        <v>242</v>
      </c>
      <c r="U10" s="114"/>
      <c r="V10" s="114"/>
      <c r="W10" s="114"/>
      <c r="X10" s="114"/>
      <c r="Y10" s="114"/>
      <c r="Z10" s="114"/>
      <c r="AA10" s="114"/>
      <c r="AC10" s="114"/>
      <c r="AD10" s="114"/>
      <c r="AE10" s="114"/>
      <c r="AF10" s="114"/>
      <c r="AG10" s="114"/>
      <c r="AH10" s="114"/>
      <c r="AI10" s="114"/>
      <c r="AJ10" s="114"/>
    </row>
    <row r="11" spans="1:36" ht="15" customHeight="1" x14ac:dyDescent="0.2">
      <c r="A11" s="109" t="s">
        <v>16</v>
      </c>
      <c r="B11" s="109"/>
      <c r="C11" s="109"/>
      <c r="D11" s="109"/>
      <c r="E11" s="109"/>
      <c r="F11" s="109"/>
      <c r="G11" s="109"/>
      <c r="H11" s="2">
        <v>30080</v>
      </c>
      <c r="I11" s="2">
        <v>30080</v>
      </c>
      <c r="J11" s="2">
        <v>30080</v>
      </c>
      <c r="M11" s="33"/>
      <c r="N11" s="33"/>
      <c r="O11" s="33"/>
      <c r="P11" s="44"/>
      <c r="Q11" s="44"/>
      <c r="R11" s="44"/>
      <c r="S11" s="44"/>
      <c r="T11" s="114"/>
      <c r="U11" s="114"/>
      <c r="V11" s="114"/>
      <c r="W11" s="114"/>
      <c r="X11" s="114"/>
      <c r="Y11" s="114"/>
      <c r="Z11" s="114"/>
      <c r="AA11" s="114"/>
      <c r="AC11" s="114"/>
      <c r="AD11" s="114"/>
      <c r="AE11" s="114"/>
      <c r="AF11" s="114"/>
      <c r="AG11" s="114"/>
      <c r="AH11" s="114"/>
      <c r="AI11" s="114"/>
      <c r="AJ11" s="114"/>
    </row>
    <row r="12" spans="1:36" ht="15" customHeight="1" x14ac:dyDescent="0.2">
      <c r="A12" s="109" t="s">
        <v>17</v>
      </c>
      <c r="B12" s="109"/>
      <c r="C12" s="109"/>
      <c r="D12" s="109"/>
      <c r="E12" s="109"/>
      <c r="F12" s="109"/>
      <c r="G12" s="109"/>
      <c r="H12" s="2">
        <v>30080</v>
      </c>
      <c r="I12" s="2">
        <v>30080</v>
      </c>
      <c r="J12" s="2">
        <v>30080</v>
      </c>
      <c r="M12" s="33"/>
      <c r="N12" s="95" t="s">
        <v>243</v>
      </c>
      <c r="O12" s="95"/>
      <c r="P12" s="94">
        <f>H27/H24</f>
        <v>0.53061872662457488</v>
      </c>
      <c r="Q12" s="94">
        <f>I27/I24</f>
        <v>0.52494288867784078</v>
      </c>
      <c r="R12" s="94">
        <f>J27/J24</f>
        <v>0.50995306897279058</v>
      </c>
      <c r="S12" s="51" t="s">
        <v>161</v>
      </c>
      <c r="T12" s="114" t="s">
        <v>244</v>
      </c>
      <c r="U12" s="114"/>
      <c r="V12" s="114"/>
      <c r="W12" s="114"/>
      <c r="X12" s="114"/>
      <c r="Y12" s="114"/>
      <c r="Z12" s="114"/>
      <c r="AA12" s="114"/>
      <c r="AC12" s="114"/>
      <c r="AD12" s="114"/>
      <c r="AE12" s="114"/>
      <c r="AF12" s="114"/>
      <c r="AG12" s="114"/>
      <c r="AH12" s="114"/>
      <c r="AI12" s="114"/>
      <c r="AJ12" s="114"/>
    </row>
    <row r="13" spans="1:36" ht="15" customHeight="1" x14ac:dyDescent="0.2">
      <c r="A13" s="109" t="s">
        <v>18</v>
      </c>
      <c r="B13" s="109"/>
      <c r="C13" s="109"/>
      <c r="D13" s="109"/>
      <c r="E13" s="109"/>
      <c r="F13" s="109"/>
      <c r="G13" s="109"/>
      <c r="H13" s="2">
        <v>0</v>
      </c>
      <c r="I13" s="2">
        <v>0</v>
      </c>
      <c r="J13" s="2">
        <v>0</v>
      </c>
      <c r="M13" s="33"/>
      <c r="S13" s="44"/>
      <c r="T13" s="114"/>
      <c r="U13" s="114"/>
      <c r="V13" s="114"/>
      <c r="W13" s="114"/>
      <c r="X13" s="114"/>
      <c r="Y13" s="114"/>
      <c r="Z13" s="114"/>
      <c r="AA13" s="114"/>
      <c r="AC13" s="114"/>
      <c r="AD13" s="114"/>
      <c r="AE13" s="114"/>
      <c r="AF13" s="114"/>
      <c r="AG13" s="114"/>
      <c r="AH13" s="114"/>
      <c r="AI13" s="114"/>
      <c r="AJ13" s="114"/>
    </row>
    <row r="14" spans="1:36" ht="15" customHeight="1" x14ac:dyDescent="0.2">
      <c r="A14" s="109" t="s">
        <v>19</v>
      </c>
      <c r="B14" s="109"/>
      <c r="C14" s="109"/>
      <c r="D14" s="109"/>
      <c r="E14" s="109"/>
      <c r="F14" s="109"/>
      <c r="G14" s="109"/>
      <c r="H14" s="2">
        <v>0</v>
      </c>
      <c r="I14" s="2">
        <v>0</v>
      </c>
      <c r="J14" s="2">
        <v>0</v>
      </c>
      <c r="M14" s="33"/>
      <c r="N14" s="95" t="s">
        <v>245</v>
      </c>
      <c r="O14" s="95"/>
      <c r="P14" s="94">
        <f>H24/H27</f>
        <v>1.8845923632610939</v>
      </c>
      <c r="Q14" s="94">
        <f>I24/I27</f>
        <v>1.9049691339160197</v>
      </c>
      <c r="R14" s="94">
        <f>J24/J27</f>
        <v>1.9609647648837991</v>
      </c>
      <c r="S14" s="51" t="s">
        <v>161</v>
      </c>
      <c r="T14" s="114" t="s">
        <v>246</v>
      </c>
      <c r="U14" s="114"/>
      <c r="V14" s="114"/>
      <c r="W14" s="114"/>
      <c r="X14" s="114"/>
      <c r="Y14" s="114"/>
      <c r="Z14" s="114"/>
      <c r="AA14" s="114"/>
      <c r="AC14" s="114"/>
      <c r="AD14" s="114"/>
      <c r="AE14" s="114"/>
      <c r="AF14" s="114"/>
      <c r="AG14" s="114"/>
      <c r="AH14" s="114"/>
      <c r="AI14" s="114"/>
      <c r="AJ14" s="114"/>
    </row>
    <row r="15" spans="1:36" ht="15" customHeight="1" x14ac:dyDescent="0.2">
      <c r="A15" s="109" t="s">
        <v>20</v>
      </c>
      <c r="B15" s="109"/>
      <c r="C15" s="109"/>
      <c r="D15" s="109"/>
      <c r="E15" s="109"/>
      <c r="F15" s="109"/>
      <c r="G15" s="109"/>
      <c r="H15" s="2">
        <v>64</v>
      </c>
      <c r="I15" s="2">
        <v>45</v>
      </c>
      <c r="J15" s="2">
        <v>105</v>
      </c>
      <c r="M15" s="33"/>
      <c r="S15" s="51"/>
      <c r="T15" s="114"/>
      <c r="U15" s="114"/>
      <c r="V15" s="114"/>
      <c r="W15" s="114"/>
      <c r="X15" s="114"/>
      <c r="Y15" s="114"/>
      <c r="Z15" s="114"/>
      <c r="AA15" s="114"/>
      <c r="AC15" s="114"/>
      <c r="AD15" s="114"/>
      <c r="AE15" s="114"/>
      <c r="AF15" s="114"/>
      <c r="AG15" s="114"/>
      <c r="AH15" s="114"/>
      <c r="AI15" s="114"/>
      <c r="AJ15" s="114"/>
    </row>
    <row r="16" spans="1:36" ht="15" customHeight="1" x14ac:dyDescent="0.2">
      <c r="A16" s="116" t="s">
        <v>21</v>
      </c>
      <c r="B16" s="116"/>
      <c r="C16" s="116"/>
      <c r="D16" s="116"/>
      <c r="E16" s="116"/>
      <c r="F16" s="116"/>
      <c r="G16" s="116"/>
      <c r="H16" s="17">
        <v>63789</v>
      </c>
      <c r="I16" s="17">
        <v>38945</v>
      </c>
      <c r="J16" s="17">
        <v>38445</v>
      </c>
      <c r="N16" s="4" t="s">
        <v>247</v>
      </c>
      <c r="O16" s="4"/>
      <c r="P16" s="8">
        <f>H32/H48</f>
        <v>0.48994948493297713</v>
      </c>
      <c r="Q16" s="8">
        <f>I32/I48</f>
        <v>0.44057219273007253</v>
      </c>
      <c r="R16" s="8">
        <f>J32/J48</f>
        <v>0.46336050359131625</v>
      </c>
      <c r="S16" s="51" t="s">
        <v>161</v>
      </c>
      <c r="T16" s="114" t="s">
        <v>248</v>
      </c>
      <c r="U16" s="114"/>
      <c r="V16" s="114"/>
      <c r="W16" s="114"/>
      <c r="X16" s="114"/>
      <c r="Y16" s="114"/>
      <c r="Z16" s="114"/>
      <c r="AA16" s="114"/>
      <c r="AC16" s="114"/>
      <c r="AD16" s="114"/>
      <c r="AE16" s="114"/>
      <c r="AF16" s="114"/>
      <c r="AG16" s="114"/>
      <c r="AH16" s="114"/>
      <c r="AI16" s="114"/>
      <c r="AJ16" s="114"/>
    </row>
    <row r="17" spans="1:36" ht="15" customHeight="1" x14ac:dyDescent="0.2">
      <c r="A17" s="109" t="s">
        <v>22</v>
      </c>
      <c r="B17" s="109"/>
      <c r="C17" s="109"/>
      <c r="D17" s="109"/>
      <c r="E17" s="109"/>
      <c r="F17" s="109"/>
      <c r="G17" s="109"/>
      <c r="H17" s="2">
        <v>13408</v>
      </c>
      <c r="I17" s="2">
        <v>15046</v>
      </c>
      <c r="J17" s="2">
        <v>10655</v>
      </c>
      <c r="S17" s="44"/>
      <c r="T17" s="114"/>
      <c r="U17" s="114"/>
      <c r="V17" s="114"/>
      <c r="W17" s="114"/>
      <c r="X17" s="114"/>
      <c r="Y17" s="114"/>
      <c r="Z17" s="114"/>
      <c r="AA17" s="114"/>
      <c r="AC17" s="114"/>
      <c r="AD17" s="114"/>
      <c r="AE17" s="114"/>
      <c r="AF17" s="114"/>
      <c r="AG17" s="114"/>
      <c r="AH17" s="114"/>
      <c r="AI17" s="114"/>
      <c r="AJ17" s="114"/>
    </row>
    <row r="18" spans="1:36" ht="15" customHeight="1" x14ac:dyDescent="0.2">
      <c r="A18" s="109" t="s">
        <v>23</v>
      </c>
      <c r="B18" s="109"/>
      <c r="C18" s="109"/>
      <c r="D18" s="109"/>
      <c r="E18" s="109"/>
      <c r="F18" s="109"/>
      <c r="G18" s="109"/>
      <c r="H18" s="2">
        <v>21446</v>
      </c>
      <c r="I18" s="2">
        <v>21273</v>
      </c>
      <c r="J18" s="2">
        <v>24825</v>
      </c>
      <c r="N18" s="4" t="s">
        <v>249</v>
      </c>
      <c r="O18" s="4"/>
      <c r="P18" s="8">
        <f>H39/H48</f>
        <v>0.51005051506702292</v>
      </c>
      <c r="Q18" s="8">
        <f>I39/I48</f>
        <v>0.55942780726992747</v>
      </c>
      <c r="R18" s="8">
        <f>J39/J48</f>
        <v>0.53663949640868369</v>
      </c>
      <c r="S18" s="51" t="s">
        <v>161</v>
      </c>
      <c r="T18" s="114" t="s">
        <v>250</v>
      </c>
      <c r="U18" s="114"/>
      <c r="V18" s="114"/>
      <c r="W18" s="114"/>
      <c r="X18" s="114"/>
      <c r="Y18" s="114"/>
      <c r="Z18" s="114"/>
      <c r="AA18" s="114"/>
    </row>
    <row r="19" spans="1:36" ht="15" customHeight="1" x14ac:dyDescent="0.2">
      <c r="A19" s="109" t="s">
        <v>24</v>
      </c>
      <c r="B19" s="109"/>
      <c r="C19" s="109"/>
      <c r="D19" s="109"/>
      <c r="E19" s="109"/>
      <c r="F19" s="109"/>
      <c r="G19" s="109"/>
      <c r="H19" s="2">
        <v>554</v>
      </c>
      <c r="I19" s="2">
        <v>0</v>
      </c>
      <c r="J19" s="2">
        <v>0</v>
      </c>
      <c r="S19" s="44"/>
      <c r="T19" s="114"/>
      <c r="U19" s="114"/>
      <c r="V19" s="114"/>
      <c r="W19" s="114"/>
      <c r="X19" s="114"/>
      <c r="Y19" s="114"/>
      <c r="Z19" s="114"/>
      <c r="AA19" s="114"/>
    </row>
    <row r="20" spans="1:36" ht="15" customHeight="1" x14ac:dyDescent="0.2">
      <c r="A20" s="109" t="s">
        <v>18</v>
      </c>
      <c r="B20" s="109"/>
      <c r="C20" s="109"/>
      <c r="D20" s="109"/>
      <c r="E20" s="109"/>
      <c r="F20" s="109"/>
      <c r="G20" s="109"/>
      <c r="H20" s="2">
        <v>2003</v>
      </c>
      <c r="I20" s="2">
        <v>2006</v>
      </c>
      <c r="J20" s="2">
        <v>2006</v>
      </c>
      <c r="N20" s="4" t="s">
        <v>251</v>
      </c>
      <c r="O20" s="4"/>
      <c r="P20" s="8">
        <f>H32/H5</f>
        <v>0.35342680176389402</v>
      </c>
      <c r="Q20" s="8">
        <f>I32/I5</f>
        <v>0.2790291810319015</v>
      </c>
      <c r="R20" s="8">
        <f>J32/J5</f>
        <v>0.30413977592767533</v>
      </c>
      <c r="S20" s="51" t="s">
        <v>161</v>
      </c>
      <c r="T20" s="114" t="s">
        <v>252</v>
      </c>
      <c r="U20" s="114"/>
      <c r="V20" s="114"/>
      <c r="W20" s="114"/>
      <c r="X20" s="114"/>
      <c r="Y20" s="114"/>
      <c r="Z20" s="114"/>
      <c r="AA20" s="114"/>
    </row>
    <row r="21" spans="1:36" ht="15" customHeight="1" x14ac:dyDescent="0.2">
      <c r="A21" s="109" t="s">
        <v>25</v>
      </c>
      <c r="B21" s="109"/>
      <c r="C21" s="109"/>
      <c r="D21" s="109"/>
      <c r="E21" s="109"/>
      <c r="F21" s="109"/>
      <c r="G21" s="109"/>
      <c r="H21" s="2">
        <v>26121</v>
      </c>
      <c r="I21" s="2">
        <v>374</v>
      </c>
      <c r="J21" s="2">
        <v>701</v>
      </c>
      <c r="S21" s="44"/>
      <c r="T21" s="114"/>
      <c r="U21" s="114"/>
      <c r="V21" s="114"/>
      <c r="W21" s="114"/>
      <c r="X21" s="114"/>
      <c r="Y21" s="114"/>
      <c r="Z21" s="114"/>
      <c r="AA21" s="114"/>
    </row>
    <row r="22" spans="1:36" ht="15" customHeight="1" x14ac:dyDescent="0.2">
      <c r="A22" s="109" t="s">
        <v>26</v>
      </c>
      <c r="B22" s="109"/>
      <c r="C22" s="109"/>
      <c r="D22" s="109"/>
      <c r="E22" s="109"/>
      <c r="F22" s="109"/>
      <c r="G22" s="109"/>
      <c r="H22" s="2">
        <v>257</v>
      </c>
      <c r="I22" s="2">
        <v>246</v>
      </c>
      <c r="J22" s="2">
        <v>258</v>
      </c>
      <c r="N22" s="4" t="s">
        <v>253</v>
      </c>
      <c r="O22" s="4"/>
      <c r="P22" s="8">
        <f>H5/H32</f>
        <v>2.8294401981093888</v>
      </c>
      <c r="Q22" s="8">
        <f>I5/I32</f>
        <v>3.5838545499141525</v>
      </c>
      <c r="R22" s="8">
        <f>J5/J32</f>
        <v>3.2879619147145056</v>
      </c>
      <c r="S22" s="51" t="s">
        <v>161</v>
      </c>
      <c r="T22" s="114" t="s">
        <v>254</v>
      </c>
      <c r="U22" s="114"/>
      <c r="V22" s="114"/>
      <c r="W22" s="114"/>
      <c r="X22" s="114"/>
      <c r="Y22" s="114"/>
      <c r="Z22" s="114"/>
      <c r="AA22" s="114"/>
    </row>
    <row r="23" spans="1:36" ht="15" customHeight="1" x14ac:dyDescent="0.2">
      <c r="A23" s="109" t="s">
        <v>27</v>
      </c>
      <c r="B23" s="109"/>
      <c r="C23" s="109"/>
      <c r="D23" s="109"/>
      <c r="E23" s="109"/>
      <c r="F23" s="109"/>
      <c r="G23" s="109"/>
      <c r="H23" s="2">
        <v>0</v>
      </c>
      <c r="I23" s="2">
        <v>0</v>
      </c>
      <c r="J23" s="2">
        <v>0</v>
      </c>
      <c r="T23" s="114"/>
      <c r="U23" s="114"/>
      <c r="V23" s="114"/>
      <c r="W23" s="114"/>
      <c r="X23" s="114"/>
      <c r="Y23" s="114"/>
      <c r="Z23" s="114"/>
      <c r="AA23" s="114"/>
    </row>
    <row r="24" spans="1:36" ht="15" customHeight="1" x14ac:dyDescent="0.2">
      <c r="A24" s="115" t="s">
        <v>28</v>
      </c>
      <c r="B24" s="115"/>
      <c r="C24" s="115"/>
      <c r="D24" s="115"/>
      <c r="E24" s="115"/>
      <c r="F24" s="115"/>
      <c r="G24" s="115"/>
      <c r="H24" s="20">
        <v>182617</v>
      </c>
      <c r="I24" s="20">
        <v>155836</v>
      </c>
      <c r="J24" s="20">
        <v>151712</v>
      </c>
      <c r="N24" s="150" t="s">
        <v>255</v>
      </c>
      <c r="O24" s="150"/>
      <c r="P24" s="8">
        <f>H27/H48</f>
        <v>1.1304642019669378</v>
      </c>
      <c r="Q24" s="8">
        <f t="shared" ref="Q24:R24" si="0">I27/I48</f>
        <v>1.1050100633518392</v>
      </c>
      <c r="R24" s="8">
        <f t="shared" si="0"/>
        <v>1.0406208807467785</v>
      </c>
      <c r="T24" s="114" t="s">
        <v>256</v>
      </c>
      <c r="U24" s="114"/>
      <c r="V24" s="114"/>
      <c r="W24" s="114"/>
      <c r="X24" s="114"/>
      <c r="Y24" s="114"/>
      <c r="Z24" s="114"/>
      <c r="AA24" s="114"/>
    </row>
    <row r="25" spans="1:36" x14ac:dyDescent="0.2">
      <c r="A25" s="138"/>
      <c r="B25" s="138"/>
      <c r="C25" s="138"/>
      <c r="D25" s="138"/>
      <c r="E25" s="138"/>
      <c r="F25" s="138"/>
      <c r="G25" s="138"/>
      <c r="H25" s="13"/>
      <c r="I25" s="13"/>
      <c r="J25" s="13"/>
      <c r="T25" s="114"/>
      <c r="U25" s="114"/>
      <c r="V25" s="114"/>
      <c r="W25" s="114"/>
      <c r="X25" s="114"/>
      <c r="Y25" s="114"/>
      <c r="Z25" s="114"/>
      <c r="AA25" s="114"/>
    </row>
    <row r="26" spans="1:36" ht="14.75" customHeight="1" x14ac:dyDescent="0.2">
      <c r="A26" s="137" t="s">
        <v>29</v>
      </c>
      <c r="B26" s="137"/>
      <c r="C26" s="137"/>
      <c r="D26" s="137"/>
      <c r="E26" s="137"/>
      <c r="F26" s="137"/>
      <c r="G26" s="137"/>
      <c r="H26" s="71"/>
      <c r="I26" s="71"/>
      <c r="J26" s="71"/>
    </row>
    <row r="27" spans="1:36" ht="14.75" customHeight="1" x14ac:dyDescent="0.2">
      <c r="A27" s="115" t="s">
        <v>30</v>
      </c>
      <c r="B27" s="115"/>
      <c r="C27" s="115"/>
      <c r="D27" s="115"/>
      <c r="E27" s="115"/>
      <c r="F27" s="115"/>
      <c r="G27" s="115"/>
      <c r="H27" s="24">
        <v>96900</v>
      </c>
      <c r="I27" s="24">
        <v>81805</v>
      </c>
      <c r="J27" s="24">
        <v>77366</v>
      </c>
    </row>
    <row r="28" spans="1:36" ht="14.75" customHeight="1" x14ac:dyDescent="0.2">
      <c r="A28" s="120" t="s">
        <v>31</v>
      </c>
      <c r="B28" s="120"/>
      <c r="C28" s="120"/>
      <c r="D28" s="120"/>
      <c r="E28" s="120"/>
      <c r="F28" s="120"/>
      <c r="G28" s="120"/>
      <c r="H28" s="2">
        <v>27750</v>
      </c>
      <c r="I28" s="2">
        <v>27750</v>
      </c>
      <c r="J28" s="2">
        <v>27750</v>
      </c>
    </row>
    <row r="29" spans="1:36" ht="14.75" customHeight="1" x14ac:dyDescent="0.2">
      <c r="A29" s="109" t="s">
        <v>32</v>
      </c>
      <c r="B29" s="109"/>
      <c r="C29" s="109"/>
      <c r="D29" s="109"/>
      <c r="E29" s="109"/>
      <c r="F29" s="109"/>
      <c r="G29" s="109"/>
      <c r="H29" s="2">
        <v>39228</v>
      </c>
      <c r="I29" s="2">
        <v>35303</v>
      </c>
      <c r="J29" s="2">
        <v>32362</v>
      </c>
    </row>
    <row r="30" spans="1:36" ht="14.75" customHeight="1" x14ac:dyDescent="0.2">
      <c r="A30" s="120" t="s">
        <v>33</v>
      </c>
      <c r="B30" s="120"/>
      <c r="C30" s="120"/>
      <c r="D30" s="120"/>
      <c r="E30" s="120"/>
      <c r="F30" s="120"/>
      <c r="G30" s="120"/>
      <c r="H30" s="2">
        <v>24888</v>
      </c>
      <c r="I30" s="2">
        <v>12000</v>
      </c>
      <c r="J30" s="2">
        <v>12000</v>
      </c>
    </row>
    <row r="31" spans="1:36" ht="14.75" customHeight="1" x14ac:dyDescent="0.2">
      <c r="A31" s="109" t="s">
        <v>34</v>
      </c>
      <c r="B31" s="109"/>
      <c r="C31" s="109"/>
      <c r="D31" s="109"/>
      <c r="E31" s="109"/>
      <c r="F31" s="109"/>
      <c r="G31" s="109"/>
      <c r="H31" s="2">
        <v>5034</v>
      </c>
      <c r="I31" s="2">
        <v>6752</v>
      </c>
      <c r="J31" s="2">
        <v>5586</v>
      </c>
    </row>
    <row r="32" spans="1:36" ht="14.75" customHeight="1" x14ac:dyDescent="0.2">
      <c r="A32" s="123" t="s">
        <v>35</v>
      </c>
      <c r="B32" s="123"/>
      <c r="C32" s="123"/>
      <c r="D32" s="123"/>
      <c r="E32" s="123"/>
      <c r="F32" s="123"/>
      <c r="G32" s="123"/>
      <c r="H32" s="23">
        <v>41997</v>
      </c>
      <c r="I32" s="23">
        <v>32616</v>
      </c>
      <c r="J32" s="23">
        <v>34449</v>
      </c>
      <c r="AC32" s="81" t="s">
        <v>257</v>
      </c>
    </row>
    <row r="33" spans="1:10" ht="14.75" customHeight="1" x14ac:dyDescent="0.2">
      <c r="A33" s="109" t="s">
        <v>36</v>
      </c>
      <c r="B33" s="109"/>
      <c r="C33" s="109"/>
      <c r="D33" s="109"/>
      <c r="E33" s="109"/>
      <c r="F33" s="109"/>
      <c r="G33" s="109"/>
      <c r="H33" s="2">
        <v>3065</v>
      </c>
      <c r="I33" s="2">
        <v>2942</v>
      </c>
      <c r="J33" s="2">
        <v>3250</v>
      </c>
    </row>
    <row r="34" spans="1:10" ht="14.75" customHeight="1" x14ac:dyDescent="0.2">
      <c r="A34" s="109" t="s">
        <v>37</v>
      </c>
      <c r="B34" s="109"/>
      <c r="C34" s="109"/>
      <c r="D34" s="109"/>
      <c r="E34" s="109"/>
      <c r="F34" s="109"/>
      <c r="G34" s="109"/>
      <c r="H34" s="2">
        <v>18027</v>
      </c>
      <c r="I34" s="2">
        <v>7949</v>
      </c>
      <c r="J34" s="2">
        <v>14772</v>
      </c>
    </row>
    <row r="35" spans="1:10" ht="14.75" customHeight="1" x14ac:dyDescent="0.2">
      <c r="A35" s="109" t="s">
        <v>38</v>
      </c>
      <c r="B35" s="109"/>
      <c r="C35" s="109"/>
      <c r="D35" s="109"/>
      <c r="E35" s="109"/>
      <c r="F35" s="109"/>
      <c r="G35" s="109"/>
      <c r="H35" s="2">
        <v>215</v>
      </c>
      <c r="I35" s="2">
        <v>1104</v>
      </c>
      <c r="J35" s="2">
        <v>0</v>
      </c>
    </row>
    <row r="36" spans="1:10" ht="14.75" customHeight="1" x14ac:dyDescent="0.2">
      <c r="A36" s="120" t="s">
        <v>39</v>
      </c>
      <c r="B36" s="120"/>
      <c r="C36" s="120"/>
      <c r="D36" s="120"/>
      <c r="E36" s="120"/>
      <c r="F36" s="120"/>
      <c r="G36" s="120"/>
      <c r="H36" s="2">
        <v>345</v>
      </c>
      <c r="I36" s="2">
        <v>336</v>
      </c>
      <c r="J36" s="2">
        <v>300</v>
      </c>
    </row>
    <row r="37" spans="1:10" ht="14.75" customHeight="1" x14ac:dyDescent="0.2">
      <c r="A37" s="109" t="s">
        <v>40</v>
      </c>
      <c r="B37" s="109"/>
      <c r="C37" s="109"/>
      <c r="D37" s="109"/>
      <c r="E37" s="109"/>
      <c r="F37" s="109"/>
      <c r="G37" s="109"/>
      <c r="H37" s="2">
        <v>16777</v>
      </c>
      <c r="I37" s="2">
        <v>16944</v>
      </c>
      <c r="J37" s="2">
        <v>11711</v>
      </c>
    </row>
    <row r="38" spans="1:10" ht="14.75" customHeight="1" x14ac:dyDescent="0.2">
      <c r="A38" s="109" t="s">
        <v>41</v>
      </c>
      <c r="B38" s="109"/>
      <c r="C38" s="109"/>
      <c r="D38" s="109"/>
      <c r="E38" s="109"/>
      <c r="F38" s="109"/>
      <c r="G38" s="109"/>
      <c r="H38" s="2">
        <v>3568</v>
      </c>
      <c r="I38" s="2">
        <v>3341</v>
      </c>
      <c r="J38" s="2">
        <v>1141</v>
      </c>
    </row>
    <row r="39" spans="1:10" ht="14.75" customHeight="1" x14ac:dyDescent="0.2">
      <c r="A39" s="116" t="s">
        <v>42</v>
      </c>
      <c r="B39" s="116"/>
      <c r="C39" s="116"/>
      <c r="D39" s="116"/>
      <c r="E39" s="116"/>
      <c r="F39" s="116"/>
      <c r="G39" s="116"/>
      <c r="H39" s="23">
        <v>43720</v>
      </c>
      <c r="I39" s="23">
        <v>41415</v>
      </c>
      <c r="J39" s="23">
        <v>39897</v>
      </c>
    </row>
    <row r="40" spans="1:10" ht="14.75" customHeight="1" x14ac:dyDescent="0.2">
      <c r="A40" s="109" t="s">
        <v>43</v>
      </c>
      <c r="B40" s="109"/>
      <c r="C40" s="109"/>
      <c r="D40" s="109"/>
      <c r="E40" s="109"/>
      <c r="F40" s="109"/>
      <c r="G40" s="109"/>
      <c r="H40" s="2">
        <v>11432</v>
      </c>
      <c r="I40" s="2">
        <v>11336</v>
      </c>
      <c r="J40" s="2">
        <v>10907</v>
      </c>
    </row>
    <row r="41" spans="1:10" ht="14.75" customHeight="1" x14ac:dyDescent="0.2">
      <c r="A41" s="109" t="s">
        <v>44</v>
      </c>
      <c r="B41" s="109"/>
      <c r="C41" s="109"/>
      <c r="D41" s="109"/>
      <c r="E41" s="109"/>
      <c r="F41" s="109"/>
      <c r="G41" s="109"/>
      <c r="H41" s="2">
        <v>368</v>
      </c>
      <c r="I41" s="2">
        <v>368</v>
      </c>
      <c r="J41" s="2">
        <v>0</v>
      </c>
    </row>
    <row r="42" spans="1:10" ht="14.75" customHeight="1" x14ac:dyDescent="0.2">
      <c r="A42" s="109" t="s">
        <v>45</v>
      </c>
      <c r="B42" s="109"/>
      <c r="C42" s="109"/>
      <c r="D42" s="109"/>
      <c r="E42" s="109"/>
      <c r="F42" s="109"/>
      <c r="G42" s="109"/>
      <c r="H42" s="2">
        <v>1391</v>
      </c>
      <c r="I42" s="2">
        <v>1381</v>
      </c>
      <c r="J42" s="2">
        <v>685</v>
      </c>
    </row>
    <row r="43" spans="1:10" ht="14.75" customHeight="1" x14ac:dyDescent="0.2">
      <c r="A43" s="109" t="s">
        <v>46</v>
      </c>
      <c r="B43" s="109"/>
      <c r="C43" s="109"/>
      <c r="D43" s="109"/>
      <c r="E43" s="109"/>
      <c r="F43" s="109"/>
      <c r="G43" s="109"/>
      <c r="H43" s="2">
        <v>28365</v>
      </c>
      <c r="I43" s="2">
        <v>24999</v>
      </c>
      <c r="J43" s="2">
        <v>25411</v>
      </c>
    </row>
    <row r="44" spans="1:10" ht="14.75" customHeight="1" x14ac:dyDescent="0.2">
      <c r="A44" s="109" t="s">
        <v>47</v>
      </c>
      <c r="B44" s="109"/>
      <c r="C44" s="109"/>
      <c r="D44" s="109"/>
      <c r="E44" s="109"/>
      <c r="F44" s="109"/>
      <c r="G44" s="109"/>
      <c r="H44" s="2">
        <v>0</v>
      </c>
      <c r="I44" s="2">
        <v>1001</v>
      </c>
      <c r="J44" s="2">
        <v>426</v>
      </c>
    </row>
    <row r="45" spans="1:10" ht="14.75" customHeight="1" x14ac:dyDescent="0.2">
      <c r="A45" s="109" t="s">
        <v>48</v>
      </c>
      <c r="B45" s="109"/>
      <c r="C45" s="109"/>
      <c r="D45" s="109"/>
      <c r="E45" s="109"/>
      <c r="F45" s="109"/>
      <c r="G45" s="109"/>
      <c r="H45" s="2">
        <v>1302</v>
      </c>
      <c r="I45" s="2">
        <v>1149</v>
      </c>
      <c r="J45" s="2">
        <v>885</v>
      </c>
    </row>
    <row r="46" spans="1:10" ht="14.75" customHeight="1" x14ac:dyDescent="0.2">
      <c r="A46" s="109" t="s">
        <v>49</v>
      </c>
      <c r="B46" s="109"/>
      <c r="C46" s="109"/>
      <c r="D46" s="109"/>
      <c r="E46" s="109"/>
      <c r="F46" s="109"/>
      <c r="G46" s="109"/>
      <c r="H46" s="2">
        <v>862</v>
      </c>
      <c r="I46" s="2">
        <v>1181</v>
      </c>
      <c r="J46" s="2">
        <v>699</v>
      </c>
    </row>
    <row r="47" spans="1:10" ht="14.75" customHeight="1" x14ac:dyDescent="0.2">
      <c r="A47" s="109" t="s">
        <v>50</v>
      </c>
      <c r="B47" s="109"/>
      <c r="C47" s="109"/>
      <c r="D47" s="109"/>
      <c r="E47" s="109"/>
      <c r="F47" s="109"/>
      <c r="G47" s="109"/>
      <c r="H47" s="2">
        <v>0</v>
      </c>
      <c r="I47" s="2">
        <v>0</v>
      </c>
      <c r="J47" s="2">
        <v>0</v>
      </c>
    </row>
    <row r="48" spans="1:10" ht="14.75" customHeight="1" x14ac:dyDescent="0.2">
      <c r="A48" s="115" t="s">
        <v>51</v>
      </c>
      <c r="B48" s="115"/>
      <c r="C48" s="115"/>
      <c r="D48" s="115"/>
      <c r="E48" s="115"/>
      <c r="F48" s="115"/>
      <c r="G48" s="115"/>
      <c r="H48" s="24">
        <v>85717</v>
      </c>
      <c r="I48" s="24">
        <v>74031</v>
      </c>
      <c r="J48" s="24">
        <v>74346</v>
      </c>
    </row>
    <row r="49" spans="1:10" ht="14.75" customHeight="1" x14ac:dyDescent="0.2">
      <c r="A49" s="131" t="s">
        <v>52</v>
      </c>
      <c r="B49" s="131"/>
      <c r="C49" s="131"/>
      <c r="D49" s="131"/>
      <c r="E49" s="131"/>
      <c r="F49" s="131"/>
      <c r="G49" s="131"/>
      <c r="H49" s="72">
        <v>182617</v>
      </c>
      <c r="I49" s="72">
        <v>155836</v>
      </c>
      <c r="J49" s="72">
        <v>151712</v>
      </c>
    </row>
    <row r="50" spans="1:10" x14ac:dyDescent="0.2">
      <c r="A50" s="112"/>
      <c r="B50" s="112"/>
      <c r="C50" s="112"/>
      <c r="D50" s="112"/>
      <c r="E50" s="112"/>
      <c r="F50" s="112"/>
      <c r="G50" s="112"/>
      <c r="H50" s="13"/>
      <c r="I50" s="13"/>
      <c r="J50" s="13"/>
    </row>
    <row r="51" spans="1:10" x14ac:dyDescent="0.2">
      <c r="A51" s="126" t="s">
        <v>258</v>
      </c>
      <c r="B51" s="126"/>
      <c r="C51" s="126"/>
      <c r="D51" s="126"/>
      <c r="E51" s="126"/>
      <c r="F51" s="126"/>
      <c r="G51" s="126"/>
      <c r="H51" s="55">
        <v>2021</v>
      </c>
      <c r="I51" s="55">
        <v>2020</v>
      </c>
      <c r="J51" s="55">
        <v>2019</v>
      </c>
    </row>
    <row r="52" spans="1:10" ht="14.75" customHeight="1" x14ac:dyDescent="0.2"/>
    <row r="53" spans="1:10" ht="14.75" customHeight="1" x14ac:dyDescent="0.2">
      <c r="A53" s="143" t="s">
        <v>54</v>
      </c>
      <c r="B53" s="143"/>
      <c r="C53" s="143"/>
      <c r="D53" s="143"/>
      <c r="E53" s="143"/>
      <c r="F53" s="143"/>
      <c r="G53" s="143"/>
      <c r="H53" s="34"/>
      <c r="I53" s="34"/>
      <c r="J53" s="34"/>
    </row>
    <row r="54" spans="1:10" ht="14.75" customHeight="1" x14ac:dyDescent="0.2">
      <c r="A54" s="109" t="s">
        <v>55</v>
      </c>
      <c r="B54" s="109"/>
      <c r="C54" s="109"/>
      <c r="D54" s="109"/>
      <c r="E54" s="109"/>
      <c r="F54" s="109"/>
      <c r="G54" s="109"/>
      <c r="H54" s="22">
        <v>6038</v>
      </c>
      <c r="I54" s="22">
        <v>8566</v>
      </c>
      <c r="J54" s="22">
        <v>7034</v>
      </c>
    </row>
    <row r="55" spans="1:10" ht="14.75" customHeight="1" x14ac:dyDescent="0.2">
      <c r="A55" s="109" t="s">
        <v>56</v>
      </c>
      <c r="B55" s="109"/>
      <c r="C55" s="109"/>
      <c r="D55" s="109"/>
      <c r="E55" s="109"/>
      <c r="F55" s="109"/>
      <c r="G55" s="109"/>
      <c r="H55" s="22">
        <v>0</v>
      </c>
      <c r="I55" s="22">
        <v>3140</v>
      </c>
      <c r="J55" s="22">
        <v>3827</v>
      </c>
    </row>
    <row r="56" spans="1:10" ht="14.75" customHeight="1" x14ac:dyDescent="0.2">
      <c r="A56" s="109" t="s">
        <v>57</v>
      </c>
      <c r="B56" s="109"/>
      <c r="C56" s="109"/>
      <c r="D56" s="109"/>
      <c r="E56" s="109"/>
      <c r="F56" s="109"/>
      <c r="G56" s="109"/>
      <c r="H56" s="22">
        <v>6110</v>
      </c>
      <c r="I56" s="22">
        <v>5891</v>
      </c>
      <c r="J56" s="22">
        <v>5228</v>
      </c>
    </row>
    <row r="57" spans="1:10" ht="14.75" customHeight="1" x14ac:dyDescent="0.2">
      <c r="A57" s="109" t="s">
        <v>58</v>
      </c>
      <c r="B57" s="109"/>
      <c r="C57" s="109"/>
      <c r="D57" s="109"/>
      <c r="E57" s="109"/>
      <c r="F57" s="109"/>
      <c r="G57" s="109"/>
      <c r="H57" s="22">
        <v>5</v>
      </c>
      <c r="I57" s="22">
        <v>-7</v>
      </c>
      <c r="J57" s="22">
        <v>7</v>
      </c>
    </row>
    <row r="58" spans="1:10" ht="14.75" customHeight="1" x14ac:dyDescent="0.2">
      <c r="A58" s="109" t="s">
        <v>59</v>
      </c>
      <c r="B58" s="109"/>
      <c r="C58" s="109"/>
      <c r="D58" s="109"/>
      <c r="E58" s="109"/>
      <c r="F58" s="109"/>
      <c r="G58" s="109"/>
      <c r="H58" s="22">
        <v>443</v>
      </c>
      <c r="I58" s="22">
        <v>609</v>
      </c>
      <c r="J58" s="22">
        <v>858</v>
      </c>
    </row>
    <row r="59" spans="1:10" ht="14.75" customHeight="1" x14ac:dyDescent="0.2">
      <c r="A59" s="120" t="s">
        <v>60</v>
      </c>
      <c r="B59" s="120"/>
      <c r="C59" s="120"/>
      <c r="D59" s="120"/>
      <c r="E59" s="120"/>
      <c r="F59" s="120"/>
      <c r="G59" s="120"/>
      <c r="H59" s="22">
        <v>-70</v>
      </c>
      <c r="I59" s="22">
        <v>-727</v>
      </c>
      <c r="J59" s="22">
        <v>-62</v>
      </c>
    </row>
    <row r="60" spans="1:10" ht="14.75" customHeight="1" x14ac:dyDescent="0.2">
      <c r="A60" s="120" t="s">
        <v>61</v>
      </c>
      <c r="B60" s="120"/>
      <c r="C60" s="120"/>
      <c r="D60" s="120"/>
      <c r="E60" s="120"/>
      <c r="F60" s="120"/>
      <c r="G60" s="120"/>
      <c r="H60" s="22">
        <v>-310</v>
      </c>
      <c r="I60" s="22">
        <v>518</v>
      </c>
      <c r="J60" s="22">
        <v>88</v>
      </c>
    </row>
    <row r="61" spans="1:10" ht="14.75" customHeight="1" x14ac:dyDescent="0.2">
      <c r="A61" s="109" t="s">
        <v>62</v>
      </c>
      <c r="B61" s="109"/>
      <c r="C61" s="109"/>
      <c r="D61" s="109"/>
      <c r="E61" s="109"/>
      <c r="F61" s="109"/>
      <c r="G61" s="109"/>
      <c r="H61" s="22">
        <v>1639</v>
      </c>
      <c r="I61" s="22">
        <v>-4391</v>
      </c>
      <c r="J61" s="22">
        <v>712</v>
      </c>
    </row>
    <row r="62" spans="1:10" ht="14.75" customHeight="1" x14ac:dyDescent="0.2">
      <c r="A62" s="120" t="s">
        <v>63</v>
      </c>
      <c r="B62" s="120"/>
      <c r="C62" s="120"/>
      <c r="D62" s="120"/>
      <c r="E62" s="120"/>
      <c r="F62" s="120"/>
      <c r="G62" s="120"/>
      <c r="H62" s="22">
        <v>-128</v>
      </c>
      <c r="I62" s="22">
        <v>3628</v>
      </c>
      <c r="J62" s="22">
        <v>-2380</v>
      </c>
    </row>
    <row r="63" spans="1:10" ht="14.75" customHeight="1" x14ac:dyDescent="0.2">
      <c r="A63" s="109" t="s">
        <v>64</v>
      </c>
      <c r="B63" s="109"/>
      <c r="C63" s="109"/>
      <c r="D63" s="109"/>
      <c r="E63" s="109"/>
      <c r="F63" s="109"/>
      <c r="G63" s="109"/>
      <c r="H63" s="22">
        <v>2372</v>
      </c>
      <c r="I63" s="22">
        <v>-292</v>
      </c>
      <c r="J63" s="22">
        <v>686</v>
      </c>
    </row>
    <row r="64" spans="1:10" ht="14.75" customHeight="1" x14ac:dyDescent="0.2">
      <c r="A64" s="109" t="s">
        <v>65</v>
      </c>
      <c r="B64" s="109"/>
      <c r="C64" s="109"/>
      <c r="D64" s="109"/>
      <c r="E64" s="109"/>
      <c r="F64" s="109"/>
      <c r="G64" s="109"/>
      <c r="H64" s="22">
        <v>-1591</v>
      </c>
      <c r="I64" s="22">
        <v>-542</v>
      </c>
      <c r="J64" s="22">
        <v>0</v>
      </c>
    </row>
    <row r="65" spans="1:10" ht="14.75" customHeight="1" x14ac:dyDescent="0.2">
      <c r="A65" s="109" t="s">
        <v>66</v>
      </c>
      <c r="B65" s="109"/>
      <c r="C65" s="109"/>
      <c r="D65" s="109"/>
      <c r="E65" s="109"/>
      <c r="F65" s="109"/>
      <c r="G65" s="109"/>
      <c r="H65" s="22">
        <v>8470</v>
      </c>
      <c r="I65" s="22">
        <v>4687</v>
      </c>
      <c r="J65" s="22">
        <v>0</v>
      </c>
    </row>
    <row r="66" spans="1:10" ht="14.75" customHeight="1" x14ac:dyDescent="0.2">
      <c r="A66" s="120" t="s">
        <v>67</v>
      </c>
      <c r="B66" s="120"/>
      <c r="C66" s="120"/>
      <c r="D66" s="120"/>
      <c r="E66" s="120"/>
      <c r="F66" s="120"/>
      <c r="G66" s="120"/>
      <c r="H66" s="22">
        <v>0</v>
      </c>
      <c r="I66" s="22">
        <v>0</v>
      </c>
      <c r="J66" s="22">
        <v>0</v>
      </c>
    </row>
    <row r="67" spans="1:10" ht="14.75" customHeight="1" x14ac:dyDescent="0.2">
      <c r="A67" s="109" t="s">
        <v>68</v>
      </c>
      <c r="B67" s="109"/>
      <c r="C67" s="109"/>
      <c r="D67" s="109"/>
      <c r="E67" s="109"/>
      <c r="F67" s="109"/>
      <c r="G67" s="109"/>
      <c r="H67" s="22">
        <v>-2436</v>
      </c>
      <c r="I67" s="22">
        <v>-1547</v>
      </c>
      <c r="J67" s="22">
        <v>-1310</v>
      </c>
    </row>
    <row r="68" spans="1:10" ht="14.75" customHeight="1" x14ac:dyDescent="0.2">
      <c r="A68" s="129" t="s">
        <v>69</v>
      </c>
      <c r="B68" s="129"/>
      <c r="C68" s="129"/>
      <c r="D68" s="129"/>
      <c r="E68" s="129"/>
      <c r="F68" s="129"/>
      <c r="G68" s="129"/>
      <c r="H68" s="35">
        <v>12072</v>
      </c>
      <c r="I68" s="35">
        <v>11706</v>
      </c>
      <c r="J68" s="35">
        <v>10861</v>
      </c>
    </row>
    <row r="69" spans="1:10" ht="14.75" customHeight="1" x14ac:dyDescent="0.2">
      <c r="A69" s="115" t="s">
        <v>70</v>
      </c>
      <c r="B69" s="115"/>
      <c r="C69" s="115"/>
      <c r="D69" s="115"/>
      <c r="E69" s="115"/>
      <c r="F69" s="115"/>
      <c r="G69" s="115"/>
      <c r="H69" s="34"/>
      <c r="I69" s="34"/>
      <c r="J69" s="34"/>
    </row>
    <row r="70" spans="1:10" ht="14.75" customHeight="1" x14ac:dyDescent="0.2">
      <c r="A70" s="109" t="s">
        <v>71</v>
      </c>
      <c r="B70" s="109"/>
      <c r="C70" s="109"/>
      <c r="D70" s="109"/>
      <c r="E70" s="109"/>
      <c r="F70" s="109"/>
      <c r="G70" s="109"/>
      <c r="H70" s="22">
        <v>521</v>
      </c>
      <c r="I70" s="22">
        <v>1914</v>
      </c>
      <c r="J70" s="22">
        <v>511</v>
      </c>
    </row>
    <row r="71" spans="1:10" ht="14.75" customHeight="1" x14ac:dyDescent="0.2">
      <c r="A71" s="109" t="s">
        <v>72</v>
      </c>
      <c r="B71" s="109"/>
      <c r="C71" s="109"/>
      <c r="D71" s="109"/>
      <c r="E71" s="109"/>
      <c r="F71" s="109"/>
      <c r="G71" s="109"/>
      <c r="H71" s="22">
        <v>0</v>
      </c>
      <c r="I71" s="22">
        <v>0</v>
      </c>
      <c r="J71" s="22">
        <v>0</v>
      </c>
    </row>
    <row r="72" spans="1:10" ht="14.75" customHeight="1" x14ac:dyDescent="0.2">
      <c r="A72" s="109" t="s">
        <v>73</v>
      </c>
      <c r="B72" s="109"/>
      <c r="C72" s="109"/>
      <c r="D72" s="109"/>
      <c r="E72" s="109"/>
      <c r="F72" s="109"/>
      <c r="G72" s="109"/>
      <c r="H72" s="22">
        <v>-7050</v>
      </c>
      <c r="I72" s="22">
        <v>-11502</v>
      </c>
      <c r="J72" s="22">
        <v>-16569</v>
      </c>
    </row>
    <row r="73" spans="1:10" ht="14.75" customHeight="1" x14ac:dyDescent="0.2">
      <c r="A73" s="120" t="s">
        <v>74</v>
      </c>
      <c r="B73" s="120"/>
      <c r="C73" s="120"/>
      <c r="D73" s="120"/>
      <c r="E73" s="120"/>
      <c r="F73" s="120"/>
      <c r="G73" s="120"/>
      <c r="H73" s="22">
        <v>0</v>
      </c>
      <c r="I73" s="22">
        <v>0</v>
      </c>
      <c r="J73" s="22">
        <v>0</v>
      </c>
    </row>
    <row r="74" spans="1:10" ht="14.75" customHeight="1" x14ac:dyDescent="0.2">
      <c r="A74" s="109" t="s">
        <v>75</v>
      </c>
      <c r="B74" s="109"/>
      <c r="C74" s="109"/>
      <c r="D74" s="109"/>
      <c r="E74" s="109"/>
      <c r="F74" s="109"/>
      <c r="G74" s="109"/>
      <c r="H74" s="22">
        <v>40</v>
      </c>
      <c r="I74" s="22">
        <v>66</v>
      </c>
      <c r="J74" s="22">
        <v>66</v>
      </c>
    </row>
    <row r="75" spans="1:10" ht="14.75" customHeight="1" x14ac:dyDescent="0.2">
      <c r="A75" s="109" t="s">
        <v>76</v>
      </c>
      <c r="B75" s="109"/>
      <c r="C75" s="109"/>
      <c r="D75" s="109"/>
      <c r="E75" s="109"/>
      <c r="F75" s="109"/>
      <c r="G75" s="109"/>
      <c r="H75" s="22">
        <v>0</v>
      </c>
      <c r="I75" s="22">
        <v>0</v>
      </c>
      <c r="J75" s="22">
        <v>0</v>
      </c>
    </row>
    <row r="76" spans="1:10" ht="14.75" customHeight="1" x14ac:dyDescent="0.2">
      <c r="A76" s="109" t="s">
        <v>18</v>
      </c>
      <c r="B76" s="109"/>
      <c r="C76" s="109"/>
      <c r="D76" s="109"/>
      <c r="E76" s="109"/>
      <c r="F76" s="109"/>
      <c r="G76" s="109"/>
      <c r="H76" s="22">
        <v>0</v>
      </c>
      <c r="I76" s="22">
        <v>0</v>
      </c>
      <c r="J76" s="22">
        <v>0</v>
      </c>
    </row>
    <row r="77" spans="1:10" ht="14.75" customHeight="1" x14ac:dyDescent="0.2">
      <c r="A77" s="109" t="s">
        <v>77</v>
      </c>
      <c r="B77" s="109"/>
      <c r="C77" s="109"/>
      <c r="D77" s="109"/>
      <c r="E77" s="109"/>
      <c r="F77" s="109"/>
      <c r="G77" s="109"/>
      <c r="H77" s="22">
        <v>0</v>
      </c>
      <c r="I77" s="22">
        <v>0</v>
      </c>
      <c r="J77" s="22">
        <v>0</v>
      </c>
    </row>
    <row r="78" spans="1:10" ht="14.75" customHeight="1" x14ac:dyDescent="0.2">
      <c r="A78" s="129" t="s">
        <v>78</v>
      </c>
      <c r="B78" s="129"/>
      <c r="C78" s="129"/>
      <c r="D78" s="129"/>
      <c r="E78" s="129"/>
      <c r="F78" s="129"/>
      <c r="G78" s="129"/>
      <c r="H78" s="35">
        <v>-6489</v>
      </c>
      <c r="I78" s="35">
        <v>-9522</v>
      </c>
      <c r="J78" s="35">
        <v>-15992</v>
      </c>
    </row>
    <row r="79" spans="1:10" ht="14.75" customHeight="1" x14ac:dyDescent="0.2">
      <c r="A79" s="115" t="s">
        <v>79</v>
      </c>
      <c r="B79" s="115"/>
      <c r="C79" s="115"/>
      <c r="D79" s="115"/>
      <c r="E79" s="115"/>
      <c r="F79" s="115"/>
      <c r="G79" s="115"/>
      <c r="H79" s="34"/>
      <c r="I79" s="34"/>
      <c r="J79" s="34"/>
    </row>
    <row r="80" spans="1:10" ht="14.75" customHeight="1" x14ac:dyDescent="0.2">
      <c r="A80" s="109" t="s">
        <v>80</v>
      </c>
      <c r="B80" s="109"/>
      <c r="C80" s="109"/>
      <c r="D80" s="109"/>
      <c r="E80" s="109"/>
      <c r="F80" s="109"/>
      <c r="G80" s="109"/>
      <c r="H80" s="22">
        <v>20669</v>
      </c>
      <c r="I80" s="22">
        <v>3922</v>
      </c>
      <c r="J80" s="22">
        <v>15459</v>
      </c>
    </row>
    <row r="81" spans="1:10" ht="14.75" customHeight="1" x14ac:dyDescent="0.2">
      <c r="A81" s="109" t="s">
        <v>81</v>
      </c>
      <c r="B81" s="109"/>
      <c r="C81" s="109"/>
      <c r="D81" s="109"/>
      <c r="E81" s="109"/>
      <c r="F81" s="109"/>
      <c r="G81" s="109"/>
      <c r="H81" s="22">
        <v>12888</v>
      </c>
      <c r="I81" s="22">
        <v>0</v>
      </c>
      <c r="J81" s="22">
        <v>0</v>
      </c>
    </row>
    <row r="82" spans="1:10" ht="14.75" customHeight="1" x14ac:dyDescent="0.2">
      <c r="A82" s="120" t="s">
        <v>82</v>
      </c>
      <c r="B82" s="120"/>
      <c r="C82" s="120"/>
      <c r="D82" s="120"/>
      <c r="E82" s="120"/>
      <c r="F82" s="120"/>
      <c r="G82" s="120"/>
      <c r="H82" s="22">
        <v>-10495</v>
      </c>
      <c r="I82" s="22">
        <v>-10316</v>
      </c>
      <c r="J82" s="22">
        <v>-11490</v>
      </c>
    </row>
    <row r="83" spans="1:10" ht="14.75" customHeight="1" x14ac:dyDescent="0.2">
      <c r="A83" s="109" t="s">
        <v>83</v>
      </c>
      <c r="B83" s="109"/>
      <c r="C83" s="109"/>
      <c r="D83" s="109"/>
      <c r="E83" s="109"/>
      <c r="F83" s="109"/>
      <c r="G83" s="109"/>
      <c r="H83" s="22">
        <v>-1685</v>
      </c>
      <c r="I83" s="22">
        <v>-1686</v>
      </c>
      <c r="J83" s="22">
        <v>-1947</v>
      </c>
    </row>
    <row r="84" spans="1:10" ht="14.75" customHeight="1" x14ac:dyDescent="0.2">
      <c r="A84" s="109" t="s">
        <v>84</v>
      </c>
      <c r="B84" s="109"/>
      <c r="C84" s="109"/>
      <c r="D84" s="109"/>
      <c r="E84" s="109"/>
      <c r="F84" s="109"/>
      <c r="G84" s="109"/>
      <c r="H84" s="22">
        <v>-481</v>
      </c>
      <c r="I84" s="22">
        <v>-675</v>
      </c>
      <c r="J84" s="22">
        <v>-924</v>
      </c>
    </row>
    <row r="85" spans="1:10" ht="14.75" customHeight="1" x14ac:dyDescent="0.2">
      <c r="A85" s="109" t="s">
        <v>85</v>
      </c>
      <c r="B85" s="109"/>
      <c r="C85" s="109"/>
      <c r="D85" s="109"/>
      <c r="E85" s="109"/>
      <c r="F85" s="109"/>
      <c r="G85" s="109"/>
      <c r="H85" s="22">
        <v>-153</v>
      </c>
      <c r="I85" s="22">
        <v>0</v>
      </c>
      <c r="J85" s="22">
        <v>0</v>
      </c>
    </row>
    <row r="86" spans="1:10" ht="14.75" customHeight="1" x14ac:dyDescent="0.2">
      <c r="A86" s="109" t="s">
        <v>86</v>
      </c>
      <c r="B86" s="109"/>
      <c r="C86" s="109"/>
      <c r="D86" s="109"/>
      <c r="E86" s="109"/>
      <c r="F86" s="109"/>
      <c r="G86" s="109"/>
      <c r="H86" s="22">
        <v>-2775</v>
      </c>
      <c r="I86" s="22">
        <v>-2313</v>
      </c>
      <c r="J86" s="22">
        <v>-2313</v>
      </c>
    </row>
    <row r="87" spans="1:10" ht="14.75" customHeight="1" x14ac:dyDescent="0.2">
      <c r="A87" s="109" t="s">
        <v>87</v>
      </c>
      <c r="B87" s="109"/>
      <c r="C87" s="109"/>
      <c r="D87" s="109"/>
      <c r="E87" s="109"/>
      <c r="F87" s="109"/>
      <c r="G87" s="109"/>
      <c r="H87" s="22">
        <v>0</v>
      </c>
      <c r="I87" s="22">
        <v>0</v>
      </c>
      <c r="J87" s="22">
        <v>0</v>
      </c>
    </row>
    <row r="88" spans="1:10" ht="14.75" customHeight="1" x14ac:dyDescent="0.2">
      <c r="A88" s="109" t="s">
        <v>88</v>
      </c>
      <c r="B88" s="109"/>
      <c r="C88" s="109"/>
      <c r="D88" s="109"/>
      <c r="E88" s="109"/>
      <c r="F88" s="109"/>
      <c r="G88" s="109"/>
      <c r="H88" s="22">
        <v>2201</v>
      </c>
      <c r="I88" s="22">
        <v>8550</v>
      </c>
      <c r="J88" s="22">
        <v>0</v>
      </c>
    </row>
    <row r="89" spans="1:10" ht="14.75" customHeight="1" x14ac:dyDescent="0.2">
      <c r="A89" s="129" t="s">
        <v>89</v>
      </c>
      <c r="B89" s="129"/>
      <c r="C89" s="129"/>
      <c r="D89" s="129"/>
      <c r="E89" s="129"/>
      <c r="F89" s="129"/>
      <c r="G89" s="129"/>
      <c r="H89" s="35">
        <v>20169</v>
      </c>
      <c r="I89" s="35">
        <v>-2518</v>
      </c>
      <c r="J89" s="35">
        <v>5545</v>
      </c>
    </row>
    <row r="90" spans="1:10" ht="14.75" customHeight="1" x14ac:dyDescent="0.2">
      <c r="A90" s="109" t="s">
        <v>90</v>
      </c>
      <c r="B90" s="109"/>
      <c r="C90" s="109"/>
      <c r="D90" s="109"/>
      <c r="E90" s="109"/>
      <c r="F90" s="109"/>
      <c r="G90" s="109"/>
      <c r="H90" s="22">
        <v>25752</v>
      </c>
      <c r="I90" s="22">
        <v>-334</v>
      </c>
      <c r="J90" s="22">
        <v>414</v>
      </c>
    </row>
    <row r="91" spans="1:10" ht="14.75" customHeight="1" x14ac:dyDescent="0.2">
      <c r="A91" s="109" t="s">
        <v>91</v>
      </c>
      <c r="B91" s="109"/>
      <c r="C91" s="109"/>
      <c r="D91" s="109"/>
      <c r="E91" s="109"/>
      <c r="F91" s="109"/>
      <c r="G91" s="109"/>
      <c r="H91" s="22">
        <v>374</v>
      </c>
      <c r="I91" s="22">
        <v>701</v>
      </c>
      <c r="J91" s="22">
        <v>294</v>
      </c>
    </row>
    <row r="92" spans="1:10" ht="14.75" customHeight="1" x14ac:dyDescent="0.2">
      <c r="A92" s="109" t="s">
        <v>259</v>
      </c>
      <c r="B92" s="109"/>
      <c r="C92" s="109"/>
      <c r="D92" s="109"/>
      <c r="E92" s="109"/>
      <c r="F92" s="109"/>
      <c r="G92" s="109"/>
      <c r="H92" s="22">
        <v>-5</v>
      </c>
      <c r="I92" s="22">
        <v>7</v>
      </c>
      <c r="J92" s="22">
        <v>-7</v>
      </c>
    </row>
    <row r="93" spans="1:10" ht="14.75" customHeight="1" x14ac:dyDescent="0.2">
      <c r="A93" s="147" t="s">
        <v>260</v>
      </c>
      <c r="B93" s="147"/>
      <c r="C93" s="147"/>
      <c r="D93" s="147"/>
      <c r="E93" s="147"/>
      <c r="F93" s="147"/>
      <c r="G93" s="147"/>
      <c r="H93" s="22"/>
      <c r="I93" s="22"/>
      <c r="J93" s="22"/>
    </row>
    <row r="94" spans="1:10" ht="14.75" customHeight="1" x14ac:dyDescent="0.2">
      <c r="A94" s="109" t="s">
        <v>93</v>
      </c>
      <c r="B94" s="109"/>
      <c r="C94" s="109"/>
      <c r="D94" s="109"/>
      <c r="E94" s="109"/>
      <c r="F94" s="109"/>
      <c r="G94" s="109"/>
      <c r="H94" s="22">
        <v>26121</v>
      </c>
      <c r="I94" s="22">
        <v>374</v>
      </c>
      <c r="J94" s="22">
        <v>701</v>
      </c>
    </row>
    <row r="95" spans="1:10" ht="14.75" customHeight="1" x14ac:dyDescent="0.2">
      <c r="A95" s="109" t="s">
        <v>197</v>
      </c>
      <c r="B95" s="109"/>
      <c r="C95" s="109"/>
      <c r="D95" s="109"/>
      <c r="E95" s="109"/>
      <c r="F95" s="109"/>
      <c r="G95" s="109"/>
      <c r="H95" s="43">
        <f>H69+H79+H90</f>
        <v>25752</v>
      </c>
      <c r="I95" s="11">
        <f>I69+I79+I90</f>
        <v>-334</v>
      </c>
      <c r="J95" s="11">
        <f>J69+J79+J90</f>
        <v>414</v>
      </c>
    </row>
    <row r="96" spans="1:10" ht="14.75" customHeight="1" x14ac:dyDescent="0.2"/>
    <row r="97" spans="1:10" ht="14.75" customHeight="1" x14ac:dyDescent="0.2"/>
    <row r="98" spans="1:10" ht="14.75" customHeight="1" x14ac:dyDescent="0.2">
      <c r="A98" s="126" t="s">
        <v>261</v>
      </c>
      <c r="B98" s="126"/>
      <c r="C98" s="126"/>
      <c r="D98" s="126"/>
      <c r="E98" s="126"/>
      <c r="F98" s="126"/>
      <c r="G98" s="126"/>
      <c r="H98" s="55">
        <v>2021</v>
      </c>
      <c r="I98" s="55">
        <v>2020</v>
      </c>
      <c r="J98" s="55">
        <v>2019</v>
      </c>
    </row>
    <row r="99" spans="1:10" ht="14.75" customHeight="1" x14ac:dyDescent="0.2">
      <c r="A99" s="129" t="s">
        <v>95</v>
      </c>
      <c r="B99" s="129"/>
      <c r="C99" s="129"/>
      <c r="D99" s="129"/>
      <c r="E99" s="129"/>
      <c r="F99" s="129"/>
      <c r="G99" s="129"/>
      <c r="H99" s="35">
        <v>155561</v>
      </c>
      <c r="I99" s="35">
        <v>172039</v>
      </c>
      <c r="J99" s="35">
        <v>151251</v>
      </c>
    </row>
    <row r="100" spans="1:10" ht="14.75" customHeight="1" x14ac:dyDescent="0.2">
      <c r="A100" s="109" t="s">
        <v>96</v>
      </c>
      <c r="B100" s="109"/>
      <c r="C100" s="109"/>
      <c r="D100" s="109"/>
      <c r="E100" s="109"/>
      <c r="F100" s="109"/>
      <c r="G100" s="109"/>
      <c r="H100" s="22"/>
      <c r="I100" s="22"/>
      <c r="J100" s="22"/>
    </row>
    <row r="101" spans="1:10" ht="14.75" customHeight="1" x14ac:dyDescent="0.2">
      <c r="A101" s="109" t="s">
        <v>97</v>
      </c>
      <c r="B101" s="109"/>
      <c r="C101" s="109"/>
      <c r="D101" s="109"/>
      <c r="E101" s="109"/>
      <c r="F101" s="109"/>
      <c r="G101" s="109"/>
      <c r="H101" s="22">
        <v>121620</v>
      </c>
      <c r="I101" s="22">
        <v>136468</v>
      </c>
      <c r="J101" s="22">
        <v>120110</v>
      </c>
    </row>
    <row r="102" spans="1:10" ht="14.75" customHeight="1" x14ac:dyDescent="0.2">
      <c r="A102" s="109" t="s">
        <v>98</v>
      </c>
      <c r="B102" s="109"/>
      <c r="C102" s="109"/>
      <c r="D102" s="109"/>
      <c r="E102" s="109"/>
      <c r="F102" s="109"/>
      <c r="G102" s="109"/>
      <c r="H102" s="22">
        <v>33941</v>
      </c>
      <c r="I102" s="22">
        <v>35571</v>
      </c>
      <c r="J102" s="22">
        <v>31141</v>
      </c>
    </row>
    <row r="103" spans="1:10" ht="14.75" customHeight="1" x14ac:dyDescent="0.2">
      <c r="A103" s="129" t="s">
        <v>99</v>
      </c>
      <c r="B103" s="129"/>
      <c r="C103" s="129"/>
      <c r="D103" s="129"/>
      <c r="E103" s="129"/>
      <c r="F103" s="129"/>
      <c r="G103" s="129"/>
      <c r="H103" s="35">
        <v>128560</v>
      </c>
      <c r="I103" s="35">
        <v>138246</v>
      </c>
      <c r="J103" s="35">
        <v>118314</v>
      </c>
    </row>
    <row r="104" spans="1:10" ht="14.75" customHeight="1" x14ac:dyDescent="0.2">
      <c r="A104" s="129" t="s">
        <v>100</v>
      </c>
      <c r="B104" s="129"/>
      <c r="C104" s="129"/>
      <c r="D104" s="129"/>
      <c r="E104" s="129"/>
      <c r="F104" s="129"/>
      <c r="G104" s="129"/>
      <c r="H104" s="35"/>
      <c r="I104" s="35"/>
      <c r="J104" s="35"/>
    </row>
    <row r="105" spans="1:10" ht="14.75" customHeight="1" x14ac:dyDescent="0.2">
      <c r="A105" s="109" t="s">
        <v>101</v>
      </c>
      <c r="B105" s="109"/>
      <c r="C105" s="109"/>
      <c r="D105" s="109"/>
      <c r="E105" s="109"/>
      <c r="F105" s="109"/>
      <c r="G105" s="109"/>
      <c r="H105" s="22">
        <v>97794</v>
      </c>
      <c r="I105" s="22">
        <v>105979</v>
      </c>
      <c r="J105" s="22">
        <v>90576</v>
      </c>
    </row>
    <row r="106" spans="1:10" ht="14.75" customHeight="1" x14ac:dyDescent="0.2">
      <c r="A106" s="109" t="s">
        <v>102</v>
      </c>
      <c r="B106" s="109"/>
      <c r="C106" s="109"/>
      <c r="D106" s="109"/>
      <c r="E106" s="109"/>
      <c r="F106" s="109"/>
      <c r="G106" s="109"/>
      <c r="H106" s="22">
        <v>30766</v>
      </c>
      <c r="I106" s="22">
        <v>32267</v>
      </c>
      <c r="J106" s="22">
        <v>27738</v>
      </c>
    </row>
    <row r="107" spans="1:10" ht="14.75" customHeight="1" x14ac:dyDescent="0.2">
      <c r="A107" s="129" t="s">
        <v>103</v>
      </c>
      <c r="B107" s="129"/>
      <c r="C107" s="129"/>
      <c r="D107" s="129"/>
      <c r="E107" s="129"/>
      <c r="F107" s="129"/>
      <c r="G107" s="129"/>
      <c r="H107" s="35">
        <v>27001</v>
      </c>
      <c r="I107" s="35">
        <v>33793</v>
      </c>
      <c r="J107" s="35">
        <v>32937</v>
      </c>
    </row>
    <row r="108" spans="1:10" ht="14.75" customHeight="1" x14ac:dyDescent="0.2">
      <c r="A108" s="109" t="s">
        <v>104</v>
      </c>
      <c r="B108" s="109"/>
      <c r="C108" s="109"/>
      <c r="D108" s="109"/>
      <c r="E108" s="109"/>
      <c r="F108" s="109"/>
      <c r="G108" s="109"/>
      <c r="H108" s="22">
        <v>19447</v>
      </c>
      <c r="I108" s="22">
        <v>20496</v>
      </c>
      <c r="J108" s="22">
        <v>20157</v>
      </c>
    </row>
    <row r="109" spans="1:10" ht="14.75" customHeight="1" x14ac:dyDescent="0.2">
      <c r="A109" s="109" t="s">
        <v>105</v>
      </c>
      <c r="B109" s="109"/>
      <c r="C109" s="109"/>
      <c r="D109" s="109"/>
      <c r="E109" s="109"/>
      <c r="F109" s="109"/>
      <c r="G109" s="109"/>
      <c r="H109" s="22">
        <v>5016</v>
      </c>
      <c r="I109" s="22">
        <v>4990</v>
      </c>
      <c r="J109" s="22">
        <v>5137</v>
      </c>
    </row>
    <row r="110" spans="1:10" ht="14.75" customHeight="1" x14ac:dyDescent="0.2">
      <c r="A110" s="109" t="s">
        <v>106</v>
      </c>
      <c r="B110" s="109"/>
      <c r="C110" s="109"/>
      <c r="D110" s="109"/>
      <c r="E110" s="109"/>
      <c r="F110" s="109"/>
      <c r="G110" s="109"/>
      <c r="H110" s="22">
        <v>785</v>
      </c>
      <c r="I110" s="22">
        <v>877</v>
      </c>
      <c r="J110" s="22">
        <v>741</v>
      </c>
    </row>
    <row r="111" spans="1:10" ht="14.75" customHeight="1" x14ac:dyDescent="0.2">
      <c r="A111" s="109" t="s">
        <v>107</v>
      </c>
      <c r="B111" s="109"/>
      <c r="C111" s="109"/>
      <c r="D111" s="109"/>
      <c r="E111" s="109"/>
      <c r="F111" s="109"/>
      <c r="G111" s="109"/>
      <c r="H111" s="22">
        <v>4246</v>
      </c>
      <c r="I111" s="22">
        <v>2466</v>
      </c>
      <c r="J111" s="22">
        <v>1162</v>
      </c>
    </row>
    <row r="112" spans="1:10" ht="14.75" customHeight="1" x14ac:dyDescent="0.2">
      <c r="A112" s="129" t="s">
        <v>108</v>
      </c>
      <c r="B112" s="129"/>
      <c r="C112" s="129"/>
      <c r="D112" s="129"/>
      <c r="E112" s="129"/>
      <c r="F112" s="129"/>
      <c r="G112" s="129"/>
      <c r="H112" s="35">
        <v>5999</v>
      </c>
      <c r="I112" s="35">
        <v>9896</v>
      </c>
      <c r="J112" s="35">
        <v>8064</v>
      </c>
    </row>
    <row r="113" spans="1:10" ht="14.75" customHeight="1" x14ac:dyDescent="0.2">
      <c r="A113" s="120" t="s">
        <v>109</v>
      </c>
      <c r="B113" s="120"/>
      <c r="C113" s="120"/>
      <c r="D113" s="120"/>
      <c r="E113" s="120"/>
      <c r="F113" s="120"/>
      <c r="G113" s="120"/>
      <c r="H113" s="22">
        <v>885</v>
      </c>
      <c r="I113" s="22">
        <v>158</v>
      </c>
      <c r="J113" s="22">
        <v>110</v>
      </c>
    </row>
    <row r="114" spans="1:10" ht="14.75" customHeight="1" x14ac:dyDescent="0.2">
      <c r="A114" s="120" t="s">
        <v>110</v>
      </c>
      <c r="B114" s="120"/>
      <c r="C114" s="120"/>
      <c r="D114" s="120"/>
      <c r="E114" s="120"/>
      <c r="F114" s="120"/>
      <c r="G114" s="120"/>
      <c r="H114" s="22">
        <v>846</v>
      </c>
      <c r="I114" s="22">
        <v>1488</v>
      </c>
      <c r="J114" s="22">
        <v>1140</v>
      </c>
    </row>
    <row r="115" spans="1:10" ht="14.75" customHeight="1" x14ac:dyDescent="0.2">
      <c r="A115" s="129" t="s">
        <v>111</v>
      </c>
      <c r="B115" s="129"/>
      <c r="C115" s="129"/>
      <c r="D115" s="129"/>
      <c r="E115" s="129"/>
      <c r="F115" s="129"/>
      <c r="G115" s="129"/>
      <c r="H115" s="35">
        <v>6038</v>
      </c>
      <c r="I115" s="35">
        <v>8566</v>
      </c>
      <c r="J115" s="35">
        <v>7034</v>
      </c>
    </row>
    <row r="116" spans="1:10" ht="14.75" customHeight="1" x14ac:dyDescent="0.2">
      <c r="A116" s="109" t="s">
        <v>112</v>
      </c>
      <c r="B116" s="109"/>
      <c r="C116" s="109"/>
      <c r="D116" s="109"/>
      <c r="E116" s="109"/>
      <c r="F116" s="109"/>
      <c r="G116" s="109"/>
      <c r="H116" s="22">
        <v>1004</v>
      </c>
      <c r="I116" s="22">
        <v>1814</v>
      </c>
      <c r="J116" s="22">
        <v>1448</v>
      </c>
    </row>
    <row r="117" spans="1:10" ht="14.75" customHeight="1" x14ac:dyDescent="0.2">
      <c r="A117" s="148" t="s">
        <v>113</v>
      </c>
      <c r="B117" s="148"/>
      <c r="C117" s="148"/>
      <c r="D117" s="148"/>
      <c r="E117" s="148"/>
      <c r="F117" s="148"/>
      <c r="G117" s="148"/>
      <c r="H117" s="35">
        <v>5034</v>
      </c>
      <c r="I117" s="35">
        <v>6752</v>
      </c>
      <c r="J117" s="35">
        <v>5586</v>
      </c>
    </row>
    <row r="118" spans="1:10" ht="14.75" customHeight="1" x14ac:dyDescent="0.2">
      <c r="A118" s="149" t="s">
        <v>114</v>
      </c>
      <c r="B118" s="149"/>
      <c r="C118" s="149"/>
      <c r="D118" s="149"/>
      <c r="E118" s="149"/>
      <c r="F118" s="149"/>
      <c r="G118" s="149"/>
      <c r="H118" s="35"/>
      <c r="I118" s="35"/>
      <c r="J118" s="35"/>
    </row>
    <row r="119" spans="1:10" ht="14.75" customHeight="1" x14ac:dyDescent="0.2">
      <c r="A119" s="109" t="s">
        <v>115</v>
      </c>
      <c r="B119" s="109"/>
      <c r="C119" s="109"/>
      <c r="D119" s="109"/>
      <c r="E119" s="109"/>
      <c r="F119" s="109"/>
      <c r="G119" s="109"/>
      <c r="H119" s="22">
        <v>5034</v>
      </c>
      <c r="I119" s="22">
        <v>6752</v>
      </c>
      <c r="J119" s="22">
        <v>5586</v>
      </c>
    </row>
    <row r="120" spans="1:10" ht="14.75" customHeight="1" x14ac:dyDescent="0.2">
      <c r="A120" s="109" t="s">
        <v>116</v>
      </c>
      <c r="B120" s="109"/>
      <c r="C120" s="109"/>
      <c r="D120" s="109"/>
      <c r="E120" s="109"/>
      <c r="F120" s="109"/>
      <c r="G120" s="109"/>
      <c r="H120" s="22">
        <v>0</v>
      </c>
      <c r="I120" s="22">
        <v>0</v>
      </c>
      <c r="J120" s="22">
        <v>0</v>
      </c>
    </row>
    <row r="121" spans="1:10" ht="14.75" customHeight="1" x14ac:dyDescent="0.2">
      <c r="A121" s="109" t="s">
        <v>117</v>
      </c>
      <c r="B121" s="109"/>
      <c r="C121" s="109"/>
      <c r="D121" s="109"/>
      <c r="E121" s="109"/>
      <c r="F121" s="109"/>
      <c r="G121" s="109"/>
      <c r="H121" s="52" t="s">
        <v>262</v>
      </c>
      <c r="I121" s="52" t="s">
        <v>263</v>
      </c>
      <c r="J121" s="52" t="s">
        <v>264</v>
      </c>
    </row>
    <row r="122" spans="1:10" ht="14.75" customHeight="1" x14ac:dyDescent="0.2">
      <c r="A122" s="109" t="s">
        <v>118</v>
      </c>
      <c r="B122" s="109"/>
      <c r="C122" s="109"/>
      <c r="D122" s="109"/>
      <c r="E122" s="109"/>
      <c r="F122" s="109"/>
      <c r="G122" s="109"/>
      <c r="H122" s="52" t="s">
        <v>262</v>
      </c>
      <c r="I122" s="52" t="s">
        <v>263</v>
      </c>
      <c r="J122" s="52" t="s">
        <v>264</v>
      </c>
    </row>
    <row r="123" spans="1:10" ht="14.75" customHeight="1" x14ac:dyDescent="0.2">
      <c r="A123" s="109" t="s">
        <v>119</v>
      </c>
      <c r="B123" s="109"/>
      <c r="C123" s="109"/>
      <c r="D123" s="109"/>
      <c r="E123" s="109"/>
      <c r="F123" s="109"/>
      <c r="G123" s="109"/>
      <c r="H123" s="22">
        <v>0</v>
      </c>
      <c r="I123" s="22">
        <v>0</v>
      </c>
      <c r="J123" s="22">
        <v>0</v>
      </c>
    </row>
    <row r="124" spans="1:10" ht="14.75" customHeight="1" x14ac:dyDescent="0.2">
      <c r="A124" s="129" t="s">
        <v>120</v>
      </c>
      <c r="B124" s="129"/>
      <c r="C124" s="129"/>
      <c r="D124" s="129"/>
      <c r="E124" s="129"/>
      <c r="F124" s="129"/>
      <c r="G124" s="129"/>
      <c r="H124" s="35">
        <v>5034</v>
      </c>
      <c r="I124" s="35">
        <v>6752</v>
      </c>
      <c r="J124" s="35">
        <v>5586</v>
      </c>
    </row>
    <row r="125" spans="1:10" ht="14.75" customHeight="1" x14ac:dyDescent="0.2">
      <c r="A125" s="109" t="s">
        <v>115</v>
      </c>
      <c r="B125" s="109"/>
      <c r="C125" s="109"/>
      <c r="D125" s="109"/>
      <c r="E125" s="109"/>
      <c r="F125" s="109"/>
      <c r="G125" s="109"/>
      <c r="H125" s="22">
        <v>5034</v>
      </c>
      <c r="I125" s="22">
        <v>6752</v>
      </c>
      <c r="J125" s="22">
        <v>5586</v>
      </c>
    </row>
    <row r="126" spans="1:10" ht="14.75" customHeight="1" x14ac:dyDescent="0.2">
      <c r="A126" s="109" t="s">
        <v>116</v>
      </c>
      <c r="B126" s="109"/>
      <c r="C126" s="109"/>
      <c r="D126" s="109"/>
      <c r="E126" s="109"/>
      <c r="F126" s="109"/>
      <c r="G126" s="109"/>
      <c r="H126" s="22">
        <v>0</v>
      </c>
      <c r="I126" s="22">
        <v>0</v>
      </c>
      <c r="J126" s="22">
        <v>0</v>
      </c>
    </row>
    <row r="127" spans="1:10" ht="14.75" customHeight="1" x14ac:dyDescent="0.2"/>
  </sheetData>
  <mergeCells count="139">
    <mergeCell ref="AC4:AJ17"/>
    <mergeCell ref="N24:O24"/>
    <mergeCell ref="T24:AA25"/>
    <mergeCell ref="T4:AA5"/>
    <mergeCell ref="T6:AA7"/>
    <mergeCell ref="T8:AA9"/>
    <mergeCell ref="T10:AA11"/>
    <mergeCell ref="T12:AA13"/>
    <mergeCell ref="T14:AA15"/>
    <mergeCell ref="T20:AA21"/>
    <mergeCell ref="N4:O4"/>
    <mergeCell ref="N6:O6"/>
    <mergeCell ref="N8:O8"/>
    <mergeCell ref="N10:O10"/>
    <mergeCell ref="T16:AA17"/>
    <mergeCell ref="T18:AA19"/>
    <mergeCell ref="T22:AA23"/>
    <mergeCell ref="A10:G10"/>
    <mergeCell ref="A11:G11"/>
    <mergeCell ref="A12:G12"/>
    <mergeCell ref="A13:G13"/>
    <mergeCell ref="A4:G4"/>
    <mergeCell ref="A5:G5"/>
    <mergeCell ref="A6:G6"/>
    <mergeCell ref="A7:G7"/>
    <mergeCell ref="A8:G8"/>
    <mergeCell ref="A9:G9"/>
    <mergeCell ref="A14:G14"/>
    <mergeCell ref="A15:G15"/>
    <mergeCell ref="A16:G16"/>
    <mergeCell ref="A17:G17"/>
    <mergeCell ref="A18:G18"/>
    <mergeCell ref="A19:G19"/>
    <mergeCell ref="A20:G20"/>
    <mergeCell ref="A39:G39"/>
    <mergeCell ref="A40:G40"/>
    <mergeCell ref="A33:G33"/>
    <mergeCell ref="A34:G34"/>
    <mergeCell ref="A35:G35"/>
    <mergeCell ref="A36:G36"/>
    <mergeCell ref="A37:G37"/>
    <mergeCell ref="A38:G38"/>
    <mergeCell ref="A27:G27"/>
    <mergeCell ref="A28:G28"/>
    <mergeCell ref="A29:G29"/>
    <mergeCell ref="A30:G30"/>
    <mergeCell ref="A31:G31"/>
    <mergeCell ref="A32:G32"/>
    <mergeCell ref="A41:G41"/>
    <mergeCell ref="A42:G42"/>
    <mergeCell ref="A43:G43"/>
    <mergeCell ref="A44:G44"/>
    <mergeCell ref="A21:G21"/>
    <mergeCell ref="A22:G22"/>
    <mergeCell ref="A23:G23"/>
    <mergeCell ref="A24:G24"/>
    <mergeCell ref="A25:G25"/>
    <mergeCell ref="A26:G26"/>
    <mergeCell ref="A60:G60"/>
    <mergeCell ref="A48:G48"/>
    <mergeCell ref="A50:G50"/>
    <mergeCell ref="A51:G51"/>
    <mergeCell ref="A53:G53"/>
    <mergeCell ref="A54:G54"/>
    <mergeCell ref="A49:G49"/>
    <mergeCell ref="A45:G45"/>
    <mergeCell ref="A46:G46"/>
    <mergeCell ref="A47:G47"/>
    <mergeCell ref="A2:G2"/>
    <mergeCell ref="A85:G85"/>
    <mergeCell ref="A86:G86"/>
    <mergeCell ref="A87:G87"/>
    <mergeCell ref="A88:G88"/>
    <mergeCell ref="A89:G89"/>
    <mergeCell ref="A90:G90"/>
    <mergeCell ref="A79:G79"/>
    <mergeCell ref="A80:G80"/>
    <mergeCell ref="A81:G81"/>
    <mergeCell ref="A82:G82"/>
    <mergeCell ref="A83:G83"/>
    <mergeCell ref="A84:G84"/>
    <mergeCell ref="A73:G73"/>
    <mergeCell ref="A74:G74"/>
    <mergeCell ref="A75:G75"/>
    <mergeCell ref="A76:G76"/>
    <mergeCell ref="A77:G77"/>
    <mergeCell ref="A78:G78"/>
    <mergeCell ref="A67:G67"/>
    <mergeCell ref="A68:G68"/>
    <mergeCell ref="A69:G69"/>
    <mergeCell ref="A70:G70"/>
    <mergeCell ref="A71:G71"/>
    <mergeCell ref="A122:G122"/>
    <mergeCell ref="A123:G123"/>
    <mergeCell ref="A124:G124"/>
    <mergeCell ref="A125:G125"/>
    <mergeCell ref="A126:G126"/>
    <mergeCell ref="A94:G94"/>
    <mergeCell ref="A95:G95"/>
    <mergeCell ref="A112:G112"/>
    <mergeCell ref="A113:G113"/>
    <mergeCell ref="A114:G114"/>
    <mergeCell ref="A115:G115"/>
    <mergeCell ref="A116:G116"/>
    <mergeCell ref="A117:G117"/>
    <mergeCell ref="A118:G118"/>
    <mergeCell ref="A111:G111"/>
    <mergeCell ref="A100:G100"/>
    <mergeCell ref="A101:G101"/>
    <mergeCell ref="A102:G102"/>
    <mergeCell ref="A103:G103"/>
    <mergeCell ref="A104:G104"/>
    <mergeCell ref="A105:G105"/>
    <mergeCell ref="A99:G99"/>
    <mergeCell ref="A98:G98"/>
    <mergeCell ref="M4:M10"/>
    <mergeCell ref="A106:G106"/>
    <mergeCell ref="A107:G107"/>
    <mergeCell ref="A108:G108"/>
    <mergeCell ref="A109:G109"/>
    <mergeCell ref="A110:G110"/>
    <mergeCell ref="A119:G119"/>
    <mergeCell ref="A120:G120"/>
    <mergeCell ref="A121:G121"/>
    <mergeCell ref="A91:G91"/>
    <mergeCell ref="A92:G92"/>
    <mergeCell ref="A93:G93"/>
    <mergeCell ref="A72:G72"/>
    <mergeCell ref="A61:G61"/>
    <mergeCell ref="A62:G62"/>
    <mergeCell ref="A63:G63"/>
    <mergeCell ref="A64:G64"/>
    <mergeCell ref="A65:G65"/>
    <mergeCell ref="A66:G66"/>
    <mergeCell ref="A55:G55"/>
    <mergeCell ref="A56:G56"/>
    <mergeCell ref="A57:G57"/>
    <mergeCell ref="A58:G58"/>
    <mergeCell ref="A59:G5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11952-FE55-4179-B9B8-52344EBC801F}">
  <dimension ref="A1:AH30"/>
  <sheetViews>
    <sheetView topLeftCell="L5" zoomScale="110" zoomScaleNormal="110" workbookViewId="0">
      <selection activeCell="P23" sqref="P23:AG24"/>
    </sheetView>
  </sheetViews>
  <sheetFormatPr baseColWidth="10" defaultColWidth="8.6640625" defaultRowHeight="15" x14ac:dyDescent="0.2"/>
  <cols>
    <col min="8" max="10" width="12.6640625" bestFit="1" customWidth="1"/>
    <col min="12" max="12" width="35.33203125" bestFit="1" customWidth="1"/>
    <col min="13" max="13" width="10.5" bestFit="1" customWidth="1"/>
    <col min="14" max="15" width="9.5" bestFit="1" customWidth="1"/>
    <col min="16" max="16" width="11.5" bestFit="1" customWidth="1"/>
  </cols>
  <sheetData>
    <row r="1" spans="1:34" x14ac:dyDescent="0.2">
      <c r="A1" s="56" t="s">
        <v>94</v>
      </c>
      <c r="B1" s="56"/>
      <c r="C1" s="56"/>
      <c r="D1" s="56"/>
      <c r="E1" s="56"/>
      <c r="F1" s="56"/>
      <c r="G1" s="56"/>
      <c r="H1" s="56"/>
      <c r="I1" s="56"/>
      <c r="J1" s="56"/>
      <c r="R1" s="112" t="s">
        <v>265</v>
      </c>
      <c r="S1" s="112"/>
      <c r="T1" s="112"/>
    </row>
    <row r="2" spans="1:34" x14ac:dyDescent="0.2">
      <c r="A2" s="55"/>
      <c r="B2" s="55"/>
      <c r="C2" s="55"/>
      <c r="D2" s="55"/>
      <c r="E2" s="55"/>
      <c r="F2" s="55"/>
      <c r="G2" s="55"/>
      <c r="H2" s="55">
        <v>2021</v>
      </c>
      <c r="I2" s="55">
        <v>2020</v>
      </c>
      <c r="J2" s="55">
        <v>2019</v>
      </c>
      <c r="M2" s="15" t="s">
        <v>266</v>
      </c>
      <c r="N2" s="15" t="s">
        <v>267</v>
      </c>
      <c r="O2" s="15" t="s">
        <v>268</v>
      </c>
      <c r="P2" s="15" t="s">
        <v>269</v>
      </c>
      <c r="R2" s="15">
        <v>2021</v>
      </c>
      <c r="S2" s="15">
        <v>2020</v>
      </c>
    </row>
    <row r="3" spans="1:34" x14ac:dyDescent="0.2">
      <c r="A3" t="s">
        <v>95</v>
      </c>
      <c r="H3">
        <v>155561</v>
      </c>
      <c r="I3">
        <v>172039</v>
      </c>
      <c r="J3">
        <v>151251</v>
      </c>
      <c r="L3" s="4" t="s">
        <v>270</v>
      </c>
      <c r="M3">
        <v>155836</v>
      </c>
      <c r="N3">
        <v>182617</v>
      </c>
      <c r="O3">
        <v>151712</v>
      </c>
      <c r="P3">
        <v>155836</v>
      </c>
      <c r="R3">
        <f>AVERAGE(M3,N3)</f>
        <v>169226.5</v>
      </c>
      <c r="S3">
        <f>AVERAGE(O3,P3)</f>
        <v>153774</v>
      </c>
    </row>
    <row r="4" spans="1:34" x14ac:dyDescent="0.2">
      <c r="A4" t="s">
        <v>96</v>
      </c>
      <c r="L4" s="4" t="s">
        <v>271</v>
      </c>
      <c r="M4">
        <v>116891</v>
      </c>
      <c r="N4">
        <v>118828</v>
      </c>
      <c r="O4">
        <v>113267</v>
      </c>
      <c r="P4">
        <v>116891</v>
      </c>
      <c r="R4">
        <f>AVERAGE(M4,N4)</f>
        <v>117859.5</v>
      </c>
      <c r="S4">
        <f t="shared" ref="S4:S6" si="0">AVERAGE(O4,P4)</f>
        <v>115079</v>
      </c>
    </row>
    <row r="5" spans="1:34" x14ac:dyDescent="0.2">
      <c r="A5" t="s">
        <v>97</v>
      </c>
      <c r="H5">
        <v>121620</v>
      </c>
      <c r="I5">
        <v>136468</v>
      </c>
      <c r="J5">
        <v>120110</v>
      </c>
      <c r="L5" s="4" t="s">
        <v>272</v>
      </c>
      <c r="M5">
        <v>38945</v>
      </c>
      <c r="N5">
        <v>63789</v>
      </c>
      <c r="O5">
        <v>38445</v>
      </c>
      <c r="P5">
        <v>38945</v>
      </c>
      <c r="R5">
        <f>AVERAGE(M5,N5)</f>
        <v>51367</v>
      </c>
      <c r="S5">
        <f t="shared" si="0"/>
        <v>38695</v>
      </c>
    </row>
    <row r="6" spans="1:34" x14ac:dyDescent="0.2">
      <c r="A6" t="s">
        <v>98</v>
      </c>
      <c r="H6">
        <v>33941</v>
      </c>
      <c r="I6">
        <v>35571</v>
      </c>
      <c r="J6">
        <v>31141</v>
      </c>
      <c r="L6" s="4" t="s">
        <v>273</v>
      </c>
      <c r="M6">
        <v>15046</v>
      </c>
      <c r="N6">
        <v>13408</v>
      </c>
      <c r="O6">
        <v>10655</v>
      </c>
      <c r="P6">
        <v>15046</v>
      </c>
      <c r="R6">
        <f t="shared" ref="R6:R7" si="1">AVERAGE(M6,N6)</f>
        <v>14227</v>
      </c>
      <c r="S6">
        <f t="shared" si="0"/>
        <v>12850.5</v>
      </c>
    </row>
    <row r="7" spans="1:34" x14ac:dyDescent="0.2">
      <c r="A7" t="s">
        <v>99</v>
      </c>
      <c r="H7">
        <v>128560</v>
      </c>
      <c r="I7">
        <v>138246</v>
      </c>
      <c r="J7">
        <v>118314</v>
      </c>
      <c r="L7" s="4" t="s">
        <v>274</v>
      </c>
      <c r="M7">
        <v>21273</v>
      </c>
      <c r="N7">
        <v>21446</v>
      </c>
      <c r="O7">
        <v>24825</v>
      </c>
      <c r="P7">
        <v>21273</v>
      </c>
      <c r="R7">
        <f t="shared" si="1"/>
        <v>21359.5</v>
      </c>
      <c r="S7">
        <f>AVERAGE(O7,P7)</f>
        <v>23049</v>
      </c>
    </row>
    <row r="8" spans="1:34" x14ac:dyDescent="0.2">
      <c r="A8" t="s">
        <v>100</v>
      </c>
      <c r="L8" s="4" t="s">
        <v>275</v>
      </c>
      <c r="M8">
        <v>41415</v>
      </c>
      <c r="N8">
        <v>43720</v>
      </c>
      <c r="O8">
        <v>39897</v>
      </c>
      <c r="P8">
        <v>41415</v>
      </c>
      <c r="R8">
        <f>AVERAGE(M8,N8)</f>
        <v>42567.5</v>
      </c>
      <c r="S8">
        <f>AVERAGE(O8,P8)</f>
        <v>40656</v>
      </c>
    </row>
    <row r="9" spans="1:34" x14ac:dyDescent="0.2">
      <c r="A9" t="s">
        <v>101</v>
      </c>
      <c r="H9">
        <v>97794</v>
      </c>
      <c r="I9">
        <v>105979</v>
      </c>
      <c r="J9">
        <v>90576</v>
      </c>
    </row>
    <row r="10" spans="1:34" ht="14.5" customHeight="1" x14ac:dyDescent="0.2">
      <c r="A10" t="s">
        <v>102</v>
      </c>
      <c r="H10">
        <v>30766</v>
      </c>
      <c r="I10">
        <v>32267</v>
      </c>
      <c r="J10">
        <v>27738</v>
      </c>
      <c r="M10" s="15">
        <v>2021</v>
      </c>
      <c r="N10" s="15">
        <v>2020</v>
      </c>
      <c r="O10" s="65"/>
      <c r="P10" s="114" t="s">
        <v>276</v>
      </c>
      <c r="Q10" s="114"/>
      <c r="R10" s="114"/>
      <c r="S10" s="114"/>
      <c r="T10" s="114"/>
      <c r="U10" s="114"/>
      <c r="V10" s="114"/>
      <c r="W10" s="114"/>
      <c r="X10" s="114"/>
      <c r="Y10" s="114"/>
      <c r="Z10" s="114"/>
      <c r="AA10" s="114"/>
      <c r="AB10" s="114"/>
      <c r="AC10" s="114"/>
      <c r="AD10" s="114"/>
      <c r="AE10" s="114"/>
      <c r="AF10" s="114"/>
      <c r="AG10" s="114"/>
      <c r="AH10" s="107"/>
    </row>
    <row r="11" spans="1:34" ht="14.5" customHeight="1" x14ac:dyDescent="0.2">
      <c r="A11" t="s">
        <v>103</v>
      </c>
      <c r="H11">
        <v>27001</v>
      </c>
      <c r="I11">
        <v>33793</v>
      </c>
      <c r="J11">
        <v>32937</v>
      </c>
      <c r="L11" s="4" t="s">
        <v>277</v>
      </c>
      <c r="M11" s="65">
        <f>H3/R3</f>
        <v>0.91924728101095277</v>
      </c>
      <c r="N11" s="65">
        <f>I3/S3</f>
        <v>1.1187782069790733</v>
      </c>
      <c r="O11" s="65"/>
      <c r="P11" s="114"/>
      <c r="Q11" s="114"/>
      <c r="R11" s="114"/>
      <c r="S11" s="114"/>
      <c r="T11" s="114"/>
      <c r="U11" s="114"/>
      <c r="V11" s="114"/>
      <c r="W11" s="114"/>
      <c r="X11" s="114"/>
      <c r="Y11" s="114"/>
      <c r="Z11" s="114"/>
      <c r="AA11" s="114"/>
      <c r="AB11" s="114"/>
      <c r="AC11" s="114"/>
      <c r="AD11" s="114"/>
      <c r="AE11" s="114"/>
      <c r="AF11" s="114"/>
      <c r="AG11" s="114"/>
      <c r="AH11" s="107"/>
    </row>
    <row r="12" spans="1:34" ht="14.5" customHeight="1" x14ac:dyDescent="0.2">
      <c r="A12" t="s">
        <v>104</v>
      </c>
      <c r="H12">
        <v>19447</v>
      </c>
      <c r="I12">
        <v>20496</v>
      </c>
      <c r="J12">
        <v>20157</v>
      </c>
      <c r="M12" s="65"/>
      <c r="N12" s="65"/>
      <c r="O12" s="65"/>
      <c r="P12" s="144" t="s">
        <v>320</v>
      </c>
      <c r="Q12" s="144"/>
      <c r="R12" s="144"/>
      <c r="S12" s="144"/>
      <c r="T12" s="144"/>
      <c r="U12" s="144"/>
      <c r="V12" s="144"/>
      <c r="W12" s="144"/>
      <c r="X12" s="144"/>
      <c r="Y12" s="144"/>
      <c r="Z12" s="144"/>
      <c r="AA12" s="144"/>
      <c r="AB12" s="144"/>
      <c r="AC12" s="144"/>
      <c r="AD12" s="144"/>
      <c r="AE12" s="144"/>
      <c r="AF12" s="144"/>
      <c r="AG12" s="144"/>
      <c r="AH12" s="107"/>
    </row>
    <row r="13" spans="1:34" ht="14.5" customHeight="1" x14ac:dyDescent="0.2">
      <c r="A13" t="s">
        <v>105</v>
      </c>
      <c r="H13">
        <v>5016</v>
      </c>
      <c r="I13">
        <v>4990</v>
      </c>
      <c r="J13">
        <v>5137</v>
      </c>
      <c r="L13" s="4" t="s">
        <v>278</v>
      </c>
      <c r="M13" s="65">
        <f>H3/R4</f>
        <v>1.3198851174491661</v>
      </c>
      <c r="N13" s="65">
        <f>I3/S4</f>
        <v>1.4949643288523535</v>
      </c>
      <c r="O13" s="65"/>
      <c r="P13" s="144"/>
      <c r="Q13" s="144"/>
      <c r="R13" s="144"/>
      <c r="S13" s="144"/>
      <c r="T13" s="144"/>
      <c r="U13" s="144"/>
      <c r="V13" s="144"/>
      <c r="W13" s="144"/>
      <c r="X13" s="144"/>
      <c r="Y13" s="144"/>
      <c r="Z13" s="144"/>
      <c r="AA13" s="144"/>
      <c r="AB13" s="144"/>
      <c r="AC13" s="144"/>
      <c r="AD13" s="144"/>
      <c r="AE13" s="144"/>
      <c r="AF13" s="144"/>
      <c r="AG13" s="144"/>
      <c r="AH13" s="107"/>
    </row>
    <row r="14" spans="1:34" ht="15" customHeight="1" x14ac:dyDescent="0.2">
      <c r="A14" t="s">
        <v>106</v>
      </c>
      <c r="H14">
        <v>785</v>
      </c>
      <c r="I14">
        <v>877</v>
      </c>
      <c r="J14">
        <v>741</v>
      </c>
      <c r="M14" s="65"/>
      <c r="N14" s="65"/>
      <c r="O14" s="65"/>
      <c r="P14" s="144"/>
      <c r="Q14" s="144"/>
      <c r="R14" s="144"/>
      <c r="S14" s="144"/>
      <c r="T14" s="144"/>
      <c r="U14" s="144"/>
      <c r="V14" s="144"/>
      <c r="W14" s="144"/>
      <c r="X14" s="144"/>
      <c r="Y14" s="144"/>
      <c r="Z14" s="144"/>
      <c r="AA14" s="144"/>
      <c r="AB14" s="144"/>
      <c r="AC14" s="144"/>
      <c r="AD14" s="144"/>
      <c r="AE14" s="144"/>
      <c r="AF14" s="144"/>
      <c r="AG14" s="144"/>
      <c r="AH14" s="107"/>
    </row>
    <row r="15" spans="1:34" ht="14.5" customHeight="1" x14ac:dyDescent="0.2">
      <c r="A15" t="s">
        <v>107</v>
      </c>
      <c r="H15">
        <v>4246</v>
      </c>
      <c r="I15">
        <v>2466</v>
      </c>
      <c r="J15">
        <v>1162</v>
      </c>
      <c r="L15" s="4" t="s">
        <v>279</v>
      </c>
      <c r="M15" s="65">
        <f>H3/R5</f>
        <v>3.0284229174372652</v>
      </c>
      <c r="N15" s="65">
        <f>I3/S5</f>
        <v>4.4460266184261537</v>
      </c>
      <c r="O15" s="65"/>
      <c r="P15" s="114" t="s">
        <v>280</v>
      </c>
      <c r="Q15" s="114"/>
      <c r="R15" s="114"/>
      <c r="S15" s="114"/>
      <c r="T15" s="114"/>
      <c r="U15" s="114"/>
      <c r="V15" s="114"/>
      <c r="W15" s="114"/>
      <c r="X15" s="114"/>
      <c r="Y15" s="114"/>
      <c r="Z15" s="114"/>
      <c r="AA15" s="114"/>
      <c r="AB15" s="114"/>
      <c r="AC15" s="114"/>
      <c r="AD15" s="114"/>
      <c r="AE15" s="114"/>
      <c r="AF15" s="114"/>
      <c r="AG15" s="114"/>
      <c r="AH15" s="107"/>
    </row>
    <row r="16" spans="1:34" ht="15" customHeight="1" x14ac:dyDescent="0.2">
      <c r="A16" t="s">
        <v>108</v>
      </c>
      <c r="H16">
        <v>5999</v>
      </c>
      <c r="I16">
        <v>9896</v>
      </c>
      <c r="J16">
        <v>8064</v>
      </c>
      <c r="M16" s="65"/>
      <c r="N16" s="65"/>
      <c r="O16" s="65"/>
      <c r="P16" s="114"/>
      <c r="Q16" s="114"/>
      <c r="R16" s="114"/>
      <c r="S16" s="114"/>
      <c r="T16" s="114"/>
      <c r="U16" s="114"/>
      <c r="V16" s="114"/>
      <c r="W16" s="114"/>
      <c r="X16" s="114"/>
      <c r="Y16" s="114"/>
      <c r="Z16" s="114"/>
      <c r="AA16" s="114"/>
      <c r="AB16" s="114"/>
      <c r="AC16" s="114"/>
      <c r="AD16" s="114"/>
      <c r="AE16" s="114"/>
      <c r="AF16" s="114"/>
      <c r="AG16" s="114"/>
      <c r="AH16" s="107"/>
    </row>
    <row r="17" spans="1:34" ht="14.5" customHeight="1" x14ac:dyDescent="0.2">
      <c r="A17" t="s">
        <v>109</v>
      </c>
      <c r="H17">
        <v>885</v>
      </c>
      <c r="I17">
        <v>158</v>
      </c>
      <c r="J17">
        <v>110</v>
      </c>
      <c r="L17" s="4" t="s">
        <v>281</v>
      </c>
      <c r="M17" s="65">
        <f>H3/R6</f>
        <v>10.934209601462008</v>
      </c>
      <c r="N17" s="65">
        <f>I3/S6</f>
        <v>13.387728103964827</v>
      </c>
      <c r="O17" s="65"/>
      <c r="P17" s="144" t="s">
        <v>321</v>
      </c>
      <c r="Q17" s="144"/>
      <c r="R17" s="144"/>
      <c r="S17" s="144"/>
      <c r="T17" s="144"/>
      <c r="U17" s="144"/>
      <c r="V17" s="144"/>
      <c r="W17" s="144"/>
      <c r="X17" s="144"/>
      <c r="Y17" s="144"/>
      <c r="Z17" s="144"/>
      <c r="AA17" s="144"/>
      <c r="AB17" s="144"/>
      <c r="AC17" s="144"/>
      <c r="AD17" s="144"/>
      <c r="AE17" s="144"/>
      <c r="AF17" s="144"/>
      <c r="AG17" s="144"/>
      <c r="AH17" s="80"/>
    </row>
    <row r="18" spans="1:34" ht="15" customHeight="1" x14ac:dyDescent="0.2">
      <c r="A18" t="s">
        <v>110</v>
      </c>
      <c r="H18">
        <v>846</v>
      </c>
      <c r="I18">
        <v>1488</v>
      </c>
      <c r="J18">
        <v>1140</v>
      </c>
      <c r="M18" s="65"/>
      <c r="N18" s="65"/>
      <c r="O18" s="65"/>
      <c r="P18" s="144"/>
      <c r="Q18" s="144"/>
      <c r="R18" s="144"/>
      <c r="S18" s="144"/>
      <c r="T18" s="144"/>
      <c r="U18" s="144"/>
      <c r="V18" s="144"/>
      <c r="W18" s="144"/>
      <c r="X18" s="144"/>
      <c r="Y18" s="144"/>
      <c r="Z18" s="144"/>
      <c r="AA18" s="144"/>
      <c r="AB18" s="144"/>
      <c r="AC18" s="144"/>
      <c r="AD18" s="144"/>
      <c r="AE18" s="144"/>
      <c r="AF18" s="144"/>
      <c r="AG18" s="144"/>
      <c r="AH18" s="80"/>
    </row>
    <row r="19" spans="1:34" ht="14.5" customHeight="1" x14ac:dyDescent="0.2">
      <c r="A19" t="s">
        <v>111</v>
      </c>
      <c r="H19">
        <v>6038</v>
      </c>
      <c r="I19">
        <v>8566</v>
      </c>
      <c r="J19">
        <v>7034</v>
      </c>
      <c r="L19" s="4" t="s">
        <v>282</v>
      </c>
      <c r="M19" s="65">
        <f>R6*365/H3</f>
        <v>33.381470934231587</v>
      </c>
      <c r="N19" s="65">
        <f>S6*365/I3</f>
        <v>27.263774492992869</v>
      </c>
      <c r="O19" s="65"/>
      <c r="P19" s="114" t="s">
        <v>283</v>
      </c>
      <c r="Q19" s="114"/>
      <c r="R19" s="114"/>
      <c r="S19" s="114"/>
      <c r="T19" s="114"/>
      <c r="U19" s="114"/>
      <c r="V19" s="114"/>
      <c r="W19" s="114"/>
      <c r="X19" s="114"/>
      <c r="Y19" s="114"/>
      <c r="Z19" s="114"/>
      <c r="AA19" s="114"/>
      <c r="AB19" s="114"/>
      <c r="AC19" s="114"/>
      <c r="AD19" s="114"/>
      <c r="AE19" s="114"/>
      <c r="AF19" s="114"/>
      <c r="AG19" s="114"/>
      <c r="AH19" s="107"/>
    </row>
    <row r="20" spans="1:34" ht="15" customHeight="1" x14ac:dyDescent="0.2">
      <c r="A20" t="s">
        <v>112</v>
      </c>
      <c r="H20">
        <v>1004</v>
      </c>
      <c r="I20">
        <v>1814</v>
      </c>
      <c r="J20">
        <v>1448</v>
      </c>
      <c r="M20" s="65"/>
      <c r="N20" s="65"/>
      <c r="O20" s="65"/>
      <c r="P20" s="114"/>
      <c r="Q20" s="114"/>
      <c r="R20" s="114"/>
      <c r="S20" s="114"/>
      <c r="T20" s="114"/>
      <c r="U20" s="114"/>
      <c r="V20" s="114"/>
      <c r="W20" s="114"/>
      <c r="X20" s="114"/>
      <c r="Y20" s="114"/>
      <c r="Z20" s="114"/>
      <c r="AA20" s="114"/>
      <c r="AB20" s="114"/>
      <c r="AC20" s="114"/>
      <c r="AD20" s="114"/>
      <c r="AE20" s="114"/>
      <c r="AF20" s="114"/>
      <c r="AG20" s="114"/>
      <c r="AH20" s="107"/>
    </row>
    <row r="21" spans="1:34" ht="14.5" customHeight="1" x14ac:dyDescent="0.2">
      <c r="A21" t="s">
        <v>113</v>
      </c>
      <c r="H21">
        <v>5034</v>
      </c>
      <c r="I21">
        <v>6752</v>
      </c>
      <c r="J21">
        <v>5586</v>
      </c>
      <c r="L21" s="4" t="s">
        <v>284</v>
      </c>
      <c r="M21" s="65">
        <f>H3/R7</f>
        <v>7.2829888340082869</v>
      </c>
      <c r="N21" s="65">
        <f>I3/S7</f>
        <v>7.4640548396893571</v>
      </c>
      <c r="O21" s="65"/>
      <c r="P21" s="144" t="s">
        <v>285</v>
      </c>
      <c r="Q21" s="144"/>
      <c r="R21" s="144"/>
      <c r="S21" s="144"/>
      <c r="T21" s="144"/>
      <c r="U21" s="144"/>
      <c r="V21" s="144"/>
      <c r="W21" s="144"/>
      <c r="X21" s="144"/>
      <c r="Y21" s="144"/>
      <c r="Z21" s="144"/>
      <c r="AA21" s="144"/>
      <c r="AB21" s="144"/>
      <c r="AC21" s="144"/>
      <c r="AD21" s="144"/>
      <c r="AE21" s="144"/>
      <c r="AF21" s="144"/>
      <c r="AG21" s="144"/>
      <c r="AH21" s="107"/>
    </row>
    <row r="22" spans="1:34" ht="15" customHeight="1" x14ac:dyDescent="0.2">
      <c r="A22" t="s">
        <v>114</v>
      </c>
      <c r="M22" s="65"/>
      <c r="N22" s="65"/>
      <c r="O22" s="65"/>
      <c r="P22" s="144"/>
      <c r="Q22" s="144"/>
      <c r="R22" s="144"/>
      <c r="S22" s="144"/>
      <c r="T22" s="144"/>
      <c r="U22" s="144"/>
      <c r="V22" s="144"/>
      <c r="W22" s="144"/>
      <c r="X22" s="144"/>
      <c r="Y22" s="144"/>
      <c r="Z22" s="144"/>
      <c r="AA22" s="144"/>
      <c r="AB22" s="144"/>
      <c r="AC22" s="144"/>
      <c r="AD22" s="144"/>
      <c r="AE22" s="144"/>
      <c r="AF22" s="144"/>
      <c r="AG22" s="144"/>
      <c r="AH22" s="107"/>
    </row>
    <row r="23" spans="1:34" ht="14.5" customHeight="1" x14ac:dyDescent="0.2">
      <c r="A23" t="s">
        <v>115</v>
      </c>
      <c r="H23">
        <v>5034</v>
      </c>
      <c r="I23">
        <v>6752</v>
      </c>
      <c r="J23">
        <v>5586</v>
      </c>
      <c r="L23" s="4" t="s">
        <v>286</v>
      </c>
      <c r="M23" s="65">
        <f>R7*365/H3</f>
        <v>50.116786983884133</v>
      </c>
      <c r="N23" s="65">
        <f>S7*365/I3</f>
        <v>48.901034067856706</v>
      </c>
      <c r="O23" s="65"/>
      <c r="P23" s="114" t="s">
        <v>287</v>
      </c>
      <c r="Q23" s="114"/>
      <c r="R23" s="114"/>
      <c r="S23" s="114"/>
      <c r="T23" s="114"/>
      <c r="U23" s="114"/>
      <c r="V23" s="114"/>
      <c r="W23" s="114"/>
      <c r="X23" s="114"/>
      <c r="Y23" s="114"/>
      <c r="Z23" s="114"/>
      <c r="AA23" s="114"/>
      <c r="AB23" s="114"/>
      <c r="AC23" s="114"/>
      <c r="AD23" s="114"/>
      <c r="AE23" s="114"/>
      <c r="AF23" s="114"/>
      <c r="AG23" s="114"/>
      <c r="AH23" s="107"/>
    </row>
    <row r="24" spans="1:34" ht="15" customHeight="1" x14ac:dyDescent="0.2">
      <c r="A24" t="s">
        <v>116</v>
      </c>
      <c r="H24">
        <v>0</v>
      </c>
      <c r="I24">
        <v>0</v>
      </c>
      <c r="J24">
        <v>0</v>
      </c>
      <c r="M24" s="65"/>
      <c r="N24" s="65"/>
      <c r="O24" s="65"/>
      <c r="P24" s="114"/>
      <c r="Q24" s="114"/>
      <c r="R24" s="114"/>
      <c r="S24" s="114"/>
      <c r="T24" s="114"/>
      <c r="U24" s="114"/>
      <c r="V24" s="114"/>
      <c r="W24" s="114"/>
      <c r="X24" s="114"/>
      <c r="Y24" s="114"/>
      <c r="Z24" s="114"/>
      <c r="AA24" s="114"/>
      <c r="AB24" s="114"/>
      <c r="AC24" s="114"/>
      <c r="AD24" s="114"/>
      <c r="AE24" s="114"/>
      <c r="AF24" s="114"/>
      <c r="AG24" s="114"/>
      <c r="AH24" s="107"/>
    </row>
    <row r="25" spans="1:34" ht="14.5" customHeight="1" x14ac:dyDescent="0.2">
      <c r="A25" t="s">
        <v>117</v>
      </c>
      <c r="H25">
        <v>0.54</v>
      </c>
      <c r="I25">
        <v>0.73</v>
      </c>
      <c r="J25">
        <v>0.6</v>
      </c>
      <c r="L25" s="4" t="s">
        <v>288</v>
      </c>
      <c r="M25" s="65">
        <f>H3/R8</f>
        <v>3.6544546896106183</v>
      </c>
      <c r="N25" s="65">
        <f>I3/S8</f>
        <v>4.2315771349862255</v>
      </c>
      <c r="O25" s="65"/>
      <c r="P25" s="144" t="s">
        <v>289</v>
      </c>
      <c r="Q25" s="144"/>
      <c r="R25" s="144"/>
      <c r="S25" s="144"/>
      <c r="T25" s="144"/>
      <c r="U25" s="144"/>
      <c r="V25" s="144"/>
      <c r="W25" s="144"/>
      <c r="X25" s="144"/>
      <c r="Y25" s="144"/>
      <c r="Z25" s="144"/>
      <c r="AA25" s="144"/>
      <c r="AB25" s="144"/>
      <c r="AC25" s="144"/>
      <c r="AD25" s="144"/>
      <c r="AE25" s="144"/>
      <c r="AF25" s="144"/>
      <c r="AG25" s="144"/>
      <c r="AH25" s="107"/>
    </row>
    <row r="26" spans="1:34" x14ac:dyDescent="0.2">
      <c r="A26" t="s">
        <v>118</v>
      </c>
      <c r="H26">
        <v>0.54</v>
      </c>
      <c r="I26">
        <v>0.73</v>
      </c>
      <c r="J26">
        <v>0.6</v>
      </c>
      <c r="M26" s="65"/>
      <c r="N26" s="65"/>
      <c r="O26" s="65"/>
      <c r="P26" s="144"/>
      <c r="Q26" s="144"/>
      <c r="R26" s="144"/>
      <c r="S26" s="144"/>
      <c r="T26" s="144"/>
      <c r="U26" s="144"/>
      <c r="V26" s="144"/>
      <c r="W26" s="144"/>
      <c r="X26" s="144"/>
      <c r="Y26" s="144"/>
      <c r="Z26" s="144"/>
      <c r="AA26" s="144"/>
      <c r="AB26" s="144"/>
      <c r="AC26" s="144"/>
      <c r="AD26" s="144"/>
      <c r="AE26" s="144"/>
      <c r="AF26" s="144"/>
      <c r="AG26" s="144"/>
      <c r="AH26" s="107"/>
    </row>
    <row r="27" spans="1:34" ht="14.5" customHeight="1" x14ac:dyDescent="0.2">
      <c r="A27" t="s">
        <v>119</v>
      </c>
      <c r="H27">
        <v>0</v>
      </c>
      <c r="I27">
        <v>0</v>
      </c>
      <c r="J27">
        <v>0</v>
      </c>
      <c r="L27" s="4" t="s">
        <v>290</v>
      </c>
      <c r="M27" s="65">
        <f>R8*365/H3</f>
        <v>99.878102480698885</v>
      </c>
      <c r="N27" s="65">
        <f>S8*365/I3</f>
        <v>86.256255848964486</v>
      </c>
      <c r="O27" s="65"/>
      <c r="P27" s="114" t="s">
        <v>291</v>
      </c>
      <c r="Q27" s="114"/>
      <c r="R27" s="114"/>
      <c r="S27" s="114"/>
      <c r="T27" s="114"/>
      <c r="U27" s="114"/>
      <c r="V27" s="114"/>
      <c r="W27" s="114"/>
      <c r="X27" s="114"/>
      <c r="Y27" s="114"/>
      <c r="Z27" s="114"/>
      <c r="AA27" s="114"/>
      <c r="AB27" s="114"/>
      <c r="AC27" s="114"/>
      <c r="AD27" s="114"/>
      <c r="AE27" s="114"/>
      <c r="AF27" s="114"/>
      <c r="AG27" s="114"/>
      <c r="AH27" s="80"/>
    </row>
    <row r="28" spans="1:34" ht="15" customHeight="1" x14ac:dyDescent="0.2">
      <c r="A28" t="s">
        <v>120</v>
      </c>
      <c r="H28">
        <v>5034</v>
      </c>
      <c r="I28">
        <v>6752</v>
      </c>
      <c r="J28">
        <v>5586</v>
      </c>
      <c r="M28" s="65"/>
      <c r="N28" s="65"/>
      <c r="O28" s="65"/>
      <c r="P28" s="114"/>
      <c r="Q28" s="114"/>
      <c r="R28" s="114"/>
      <c r="S28" s="114"/>
      <c r="T28" s="114"/>
      <c r="U28" s="114"/>
      <c r="V28" s="114"/>
      <c r="W28" s="114"/>
      <c r="X28" s="114"/>
      <c r="Y28" s="114"/>
      <c r="Z28" s="114"/>
      <c r="AA28" s="114"/>
      <c r="AB28" s="114"/>
      <c r="AC28" s="114"/>
      <c r="AD28" s="114"/>
      <c r="AE28" s="114"/>
      <c r="AF28" s="114"/>
      <c r="AG28" s="114"/>
      <c r="AH28" s="80"/>
    </row>
    <row r="29" spans="1:34" x14ac:dyDescent="0.2">
      <c r="A29" t="s">
        <v>115</v>
      </c>
      <c r="H29">
        <v>5034</v>
      </c>
      <c r="I29">
        <v>6752</v>
      </c>
      <c r="J29">
        <v>5586</v>
      </c>
      <c r="L29" s="4" t="s">
        <v>292</v>
      </c>
      <c r="M29" s="65">
        <f>M23+M19-M27</f>
        <v>-16.379844562583173</v>
      </c>
      <c r="N29" s="65">
        <f>N23+N19-N27</f>
        <v>-10.091447288114907</v>
      </c>
      <c r="P29" s="145" t="s">
        <v>293</v>
      </c>
      <c r="Q29" s="145"/>
      <c r="R29" s="145"/>
      <c r="S29" s="145"/>
      <c r="T29" s="145"/>
      <c r="U29" s="145"/>
      <c r="V29" s="145"/>
      <c r="W29" s="145"/>
      <c r="X29" s="145"/>
      <c r="Y29" s="145"/>
      <c r="Z29" s="145"/>
      <c r="AA29" s="145"/>
      <c r="AB29" s="145"/>
      <c r="AC29" s="145"/>
      <c r="AD29" s="145"/>
      <c r="AE29" s="145"/>
      <c r="AF29" s="145"/>
      <c r="AG29" s="145"/>
      <c r="AH29" s="107"/>
    </row>
    <row r="30" spans="1:34" x14ac:dyDescent="0.2">
      <c r="A30" t="s">
        <v>116</v>
      </c>
      <c r="H30">
        <v>0</v>
      </c>
      <c r="I30">
        <v>0</v>
      </c>
      <c r="J30">
        <v>0</v>
      </c>
    </row>
  </sheetData>
  <mergeCells count="11">
    <mergeCell ref="P29:AG29"/>
    <mergeCell ref="R1:T1"/>
    <mergeCell ref="P12:AG14"/>
    <mergeCell ref="P19:AG20"/>
    <mergeCell ref="P10:AG11"/>
    <mergeCell ref="P15:AG16"/>
    <mergeCell ref="P21:AG22"/>
    <mergeCell ref="P23:AG24"/>
    <mergeCell ref="P25:AG26"/>
    <mergeCell ref="P17:AG18"/>
    <mergeCell ref="P27:AG28"/>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F8FB-6338-46E5-8167-524E3CD24676}">
  <dimension ref="A3:AJ125"/>
  <sheetViews>
    <sheetView zoomScale="95" zoomScaleNormal="50" workbookViewId="0">
      <selection activeCell="AM6" sqref="AM6"/>
    </sheetView>
  </sheetViews>
  <sheetFormatPr baseColWidth="10" defaultColWidth="8.6640625" defaultRowHeight="15" x14ac:dyDescent="0.2"/>
  <cols>
    <col min="1" max="6" width="14.5" customWidth="1"/>
    <col min="7" max="7" width="11" customWidth="1"/>
    <col min="8" max="10" width="16.6640625" customWidth="1"/>
    <col min="14" max="14" width="13.33203125" customWidth="1"/>
    <col min="15" max="15" width="23.33203125" customWidth="1"/>
    <col min="16" max="16" width="16.33203125" customWidth="1"/>
    <col min="22" max="22" width="11.1640625" customWidth="1"/>
    <col min="23" max="23" width="10.1640625" customWidth="1"/>
    <col min="26" max="26" width="10.33203125" customWidth="1"/>
  </cols>
  <sheetData>
    <row r="3" spans="1:36" x14ac:dyDescent="0.2">
      <c r="A3" s="155" t="s">
        <v>157</v>
      </c>
      <c r="B3" s="155"/>
      <c r="C3" s="155"/>
      <c r="D3" s="155"/>
      <c r="E3" s="155"/>
      <c r="F3" s="155"/>
      <c r="G3" s="155"/>
      <c r="H3" s="27">
        <v>2021</v>
      </c>
      <c r="I3" s="27">
        <v>2020</v>
      </c>
      <c r="J3" s="27">
        <v>2019</v>
      </c>
      <c r="N3" s="33"/>
      <c r="O3" s="33"/>
      <c r="P3" s="33"/>
      <c r="Q3" s="45">
        <v>2021</v>
      </c>
      <c r="R3" s="45">
        <v>2020</v>
      </c>
      <c r="S3" s="45">
        <v>2019</v>
      </c>
      <c r="T3" s="46"/>
    </row>
    <row r="4" spans="1:36" ht="17.25" customHeight="1" x14ac:dyDescent="0.2">
      <c r="A4" s="115" t="s">
        <v>9</v>
      </c>
      <c r="B4" s="115"/>
      <c r="C4" s="115"/>
      <c r="D4" s="115"/>
      <c r="E4" s="115"/>
      <c r="F4" s="115"/>
      <c r="G4" s="115"/>
      <c r="H4" s="14"/>
      <c r="I4" s="14"/>
      <c r="J4" s="14"/>
      <c r="N4" s="33"/>
      <c r="O4" s="33"/>
      <c r="P4" s="33"/>
      <c r="Q4" s="33"/>
      <c r="R4" s="33"/>
      <c r="S4" s="33"/>
      <c r="T4" s="33"/>
      <c r="U4" s="156" t="s">
        <v>294</v>
      </c>
      <c r="V4" s="114"/>
      <c r="W4" s="114"/>
      <c r="X4" s="114"/>
      <c r="Y4" s="114"/>
      <c r="Z4" s="114"/>
      <c r="AA4" s="114"/>
      <c r="AC4" s="114" t="s">
        <v>295</v>
      </c>
      <c r="AD4" s="114"/>
      <c r="AE4" s="114"/>
      <c r="AF4" s="114"/>
      <c r="AG4" s="114"/>
      <c r="AH4" s="114"/>
      <c r="AI4" s="114"/>
      <c r="AJ4" s="114"/>
    </row>
    <row r="5" spans="1:36" ht="15" customHeight="1" x14ac:dyDescent="0.2">
      <c r="A5" s="116" t="s">
        <v>10</v>
      </c>
      <c r="B5" s="116"/>
      <c r="C5" s="116"/>
      <c r="D5" s="116"/>
      <c r="E5" s="116"/>
      <c r="F5" s="116"/>
      <c r="G5" s="116"/>
      <c r="H5" s="17">
        <v>118828</v>
      </c>
      <c r="I5" s="17">
        <v>116891</v>
      </c>
      <c r="J5" s="17">
        <v>113267</v>
      </c>
      <c r="N5" s="146" t="s">
        <v>296</v>
      </c>
      <c r="O5" s="151" t="s">
        <v>297</v>
      </c>
      <c r="P5" s="151"/>
      <c r="Q5" s="53">
        <f>H116/H98</f>
        <v>3.2360295961069936E-2</v>
      </c>
      <c r="R5" s="53">
        <f>I116/I98</f>
        <v>3.9246914943704622E-2</v>
      </c>
      <c r="S5" s="53">
        <f>J116/J98</f>
        <v>3.6931987226530731E-2</v>
      </c>
      <c r="T5" s="33"/>
      <c r="U5" s="114"/>
      <c r="V5" s="114"/>
      <c r="W5" s="114"/>
      <c r="X5" s="114"/>
      <c r="Y5" s="114"/>
      <c r="Z5" s="114"/>
      <c r="AA5" s="114"/>
      <c r="AC5" s="114"/>
      <c r="AD5" s="114"/>
      <c r="AE5" s="114"/>
      <c r="AF5" s="114"/>
      <c r="AG5" s="114"/>
      <c r="AH5" s="114"/>
      <c r="AI5" s="114"/>
      <c r="AJ5" s="114"/>
    </row>
    <row r="6" spans="1:36" x14ac:dyDescent="0.2">
      <c r="A6" s="109" t="s">
        <v>11</v>
      </c>
      <c r="B6" s="109"/>
      <c r="C6" s="109"/>
      <c r="D6" s="109"/>
      <c r="E6" s="109"/>
      <c r="F6" s="109"/>
      <c r="G6" s="109"/>
      <c r="H6" s="2">
        <v>79465</v>
      </c>
      <c r="I6" s="2">
        <v>78249</v>
      </c>
      <c r="J6" s="2">
        <v>73444</v>
      </c>
      <c r="N6" s="146"/>
      <c r="O6" s="33"/>
      <c r="P6" s="33"/>
      <c r="Q6" s="33"/>
      <c r="R6" s="33"/>
      <c r="S6" s="33"/>
      <c r="T6" s="33"/>
      <c r="U6" s="114"/>
      <c r="V6" s="114"/>
      <c r="W6" s="114"/>
      <c r="X6" s="114"/>
      <c r="Y6" s="114"/>
      <c r="Z6" s="114"/>
      <c r="AA6" s="114"/>
      <c r="AC6" s="114"/>
      <c r="AD6" s="114"/>
      <c r="AE6" s="114"/>
      <c r="AF6" s="114"/>
      <c r="AG6" s="114"/>
      <c r="AH6" s="114"/>
      <c r="AI6" s="114"/>
      <c r="AJ6" s="114"/>
    </row>
    <row r="7" spans="1:36" ht="14.75" customHeight="1" x14ac:dyDescent="0.2">
      <c r="A7" s="109" t="s">
        <v>12</v>
      </c>
      <c r="B7" s="109"/>
      <c r="C7" s="109"/>
      <c r="D7" s="109"/>
      <c r="E7" s="109"/>
      <c r="F7" s="109"/>
      <c r="G7" s="109"/>
      <c r="H7" s="2">
        <v>3291</v>
      </c>
      <c r="I7" s="2">
        <v>2524</v>
      </c>
      <c r="J7" s="2">
        <v>4091</v>
      </c>
      <c r="N7" s="146"/>
      <c r="O7" s="151" t="s">
        <v>298</v>
      </c>
      <c r="P7" s="151"/>
      <c r="Q7" s="53">
        <f>H116/H24</f>
        <v>2.7565889265511973E-2</v>
      </c>
      <c r="R7" s="53">
        <f>I116/I24</f>
        <v>4.3327600811109111E-2</v>
      </c>
      <c r="S7" s="53">
        <f>J116/J24</f>
        <v>3.6819763762919212E-2</v>
      </c>
      <c r="T7" s="54"/>
      <c r="U7" s="114" t="s">
        <v>299</v>
      </c>
      <c r="V7" s="114"/>
      <c r="W7" s="114"/>
      <c r="X7" s="114"/>
      <c r="Y7" s="114"/>
      <c r="Z7" s="114"/>
      <c r="AA7" s="114"/>
      <c r="AC7" s="114"/>
      <c r="AD7" s="114"/>
      <c r="AE7" s="114"/>
      <c r="AF7" s="114"/>
      <c r="AG7" s="114"/>
      <c r="AH7" s="114"/>
      <c r="AI7" s="114"/>
      <c r="AJ7" s="114"/>
    </row>
    <row r="8" spans="1:36" x14ac:dyDescent="0.2">
      <c r="A8" s="109" t="s">
        <v>13</v>
      </c>
      <c r="B8" s="109"/>
      <c r="C8" s="109"/>
      <c r="D8" s="109"/>
      <c r="E8" s="109"/>
      <c r="F8" s="109"/>
      <c r="G8" s="109"/>
      <c r="H8" s="2">
        <v>603</v>
      </c>
      <c r="I8" s="2">
        <v>603</v>
      </c>
      <c r="J8" s="2">
        <v>603</v>
      </c>
      <c r="N8" s="146"/>
      <c r="O8" s="33"/>
      <c r="P8" s="33"/>
      <c r="Q8" s="54"/>
      <c r="R8" s="54"/>
      <c r="S8" s="54"/>
      <c r="T8" s="54"/>
      <c r="U8" s="114"/>
      <c r="V8" s="114"/>
      <c r="W8" s="114"/>
      <c r="X8" s="114"/>
      <c r="Y8" s="114"/>
      <c r="Z8" s="114"/>
      <c r="AA8" s="114"/>
      <c r="AC8" s="114"/>
      <c r="AD8" s="114"/>
      <c r="AE8" s="114"/>
      <c r="AF8" s="114"/>
      <c r="AG8" s="114"/>
      <c r="AH8" s="114"/>
      <c r="AI8" s="114"/>
      <c r="AJ8" s="114"/>
    </row>
    <row r="9" spans="1:36" ht="14.75" customHeight="1" x14ac:dyDescent="0.2">
      <c r="A9" s="109" t="s">
        <v>14</v>
      </c>
      <c r="B9" s="109"/>
      <c r="C9" s="109"/>
      <c r="D9" s="109"/>
      <c r="E9" s="109"/>
      <c r="F9" s="109"/>
      <c r="G9" s="109"/>
      <c r="H9" s="2">
        <v>0</v>
      </c>
      <c r="I9" s="2">
        <v>0</v>
      </c>
      <c r="J9" s="2">
        <v>0</v>
      </c>
      <c r="N9" s="146"/>
      <c r="O9" s="150" t="s">
        <v>300</v>
      </c>
      <c r="P9" s="150"/>
      <c r="Q9" s="8">
        <f>H116/H5</f>
        <v>4.236375265089036E-2</v>
      </c>
      <c r="R9" s="8">
        <f t="shared" ref="R9:S9" si="0">I116/I5</f>
        <v>5.7763215303145668E-2</v>
      </c>
      <c r="S9" s="8">
        <f t="shared" si="0"/>
        <v>4.9317100302824303E-2</v>
      </c>
      <c r="T9" s="54"/>
      <c r="U9" s="130" t="s">
        <v>301</v>
      </c>
      <c r="V9" s="130"/>
      <c r="W9" s="130"/>
      <c r="X9" s="130"/>
      <c r="Y9" s="130"/>
      <c r="Z9" s="130"/>
      <c r="AA9" s="130"/>
      <c r="AC9" s="114"/>
      <c r="AD9" s="114"/>
      <c r="AE9" s="114"/>
      <c r="AF9" s="114"/>
      <c r="AG9" s="114"/>
      <c r="AH9" s="114"/>
      <c r="AI9" s="114"/>
      <c r="AJ9" s="114"/>
    </row>
    <row r="10" spans="1:36" x14ac:dyDescent="0.2">
      <c r="A10" s="109" t="s">
        <v>15</v>
      </c>
      <c r="B10" s="109"/>
      <c r="C10" s="109"/>
      <c r="D10" s="109"/>
      <c r="E10" s="109"/>
      <c r="F10" s="109"/>
      <c r="G10" s="109"/>
      <c r="H10" s="2">
        <v>5325</v>
      </c>
      <c r="I10" s="2">
        <v>5390</v>
      </c>
      <c r="J10" s="2">
        <v>4944</v>
      </c>
      <c r="N10" s="33"/>
      <c r="T10" s="54"/>
      <c r="U10" s="130"/>
      <c r="V10" s="130"/>
      <c r="W10" s="130"/>
      <c r="X10" s="130"/>
      <c r="Y10" s="130"/>
      <c r="Z10" s="130"/>
      <c r="AA10" s="130"/>
      <c r="AC10" s="114"/>
      <c r="AD10" s="114"/>
      <c r="AE10" s="114"/>
      <c r="AF10" s="114"/>
      <c r="AG10" s="114"/>
      <c r="AH10" s="114"/>
      <c r="AI10" s="114"/>
      <c r="AJ10" s="114"/>
    </row>
    <row r="11" spans="1:36" ht="14.75" customHeight="1" x14ac:dyDescent="0.2">
      <c r="A11" s="109" t="s">
        <v>16</v>
      </c>
      <c r="B11" s="109"/>
      <c r="C11" s="109"/>
      <c r="D11" s="109"/>
      <c r="E11" s="109"/>
      <c r="F11" s="109"/>
      <c r="G11" s="109"/>
      <c r="H11" s="2">
        <v>30080</v>
      </c>
      <c r="I11" s="2">
        <v>30080</v>
      </c>
      <c r="J11" s="2">
        <v>30080</v>
      </c>
      <c r="O11" s="150" t="s">
        <v>302</v>
      </c>
      <c r="P11" s="150"/>
      <c r="Q11" s="8">
        <f>H116/H16</f>
        <v>7.8916427597234634E-2</v>
      </c>
      <c r="R11" s="8">
        <f t="shared" ref="R11:S11" si="1">I116/I16</f>
        <v>0.17337270509693156</v>
      </c>
      <c r="S11" s="8">
        <f t="shared" si="1"/>
        <v>0.14529847834568865</v>
      </c>
      <c r="T11" s="54"/>
      <c r="U11" s="130" t="s">
        <v>303</v>
      </c>
      <c r="V11" s="130"/>
      <c r="W11" s="130"/>
      <c r="X11" s="130"/>
      <c r="Y11" s="130"/>
      <c r="Z11" s="130"/>
      <c r="AA11" s="130"/>
      <c r="AC11" s="114"/>
      <c r="AD11" s="114"/>
      <c r="AE11" s="114"/>
      <c r="AF11" s="114"/>
      <c r="AG11" s="114"/>
      <c r="AH11" s="114"/>
      <c r="AI11" s="114"/>
      <c r="AJ11" s="114"/>
    </row>
    <row r="12" spans="1:36" ht="14.75" customHeight="1" x14ac:dyDescent="0.2">
      <c r="A12" s="109" t="s">
        <v>17</v>
      </c>
      <c r="B12" s="109"/>
      <c r="C12" s="109"/>
      <c r="D12" s="109"/>
      <c r="E12" s="109"/>
      <c r="F12" s="109"/>
      <c r="G12" s="109"/>
      <c r="H12" s="2">
        <v>30080</v>
      </c>
      <c r="I12" s="2">
        <v>30080</v>
      </c>
      <c r="J12" s="2">
        <v>30080</v>
      </c>
      <c r="T12" s="54"/>
      <c r="U12" s="130"/>
      <c r="V12" s="130"/>
      <c r="W12" s="130"/>
      <c r="X12" s="130"/>
      <c r="Y12" s="130"/>
      <c r="Z12" s="130"/>
      <c r="AA12" s="130"/>
      <c r="AC12" s="114"/>
      <c r="AD12" s="114"/>
      <c r="AE12" s="114"/>
      <c r="AF12" s="114"/>
      <c r="AG12" s="114"/>
      <c r="AH12" s="114"/>
      <c r="AI12" s="114"/>
      <c r="AJ12" s="114"/>
    </row>
    <row r="13" spans="1:36" ht="14.75" customHeight="1" x14ac:dyDescent="0.2">
      <c r="A13" s="109" t="s">
        <v>18</v>
      </c>
      <c r="B13" s="109"/>
      <c r="C13" s="109"/>
      <c r="D13" s="109"/>
      <c r="E13" s="109"/>
      <c r="F13" s="109"/>
      <c r="G13" s="109"/>
      <c r="H13" s="2">
        <v>0</v>
      </c>
      <c r="I13" s="2">
        <v>0</v>
      </c>
      <c r="J13" s="2">
        <v>0</v>
      </c>
      <c r="O13" s="150" t="s">
        <v>304</v>
      </c>
      <c r="P13" s="150"/>
      <c r="Q13" s="8">
        <f>H116/H18</f>
        <v>0.23472908700923248</v>
      </c>
      <c r="R13" s="8">
        <f t="shared" ref="R13:S13" si="2">I116/I18</f>
        <v>0.31739764020119399</v>
      </c>
      <c r="S13" s="8">
        <f t="shared" si="2"/>
        <v>0.22501510574018127</v>
      </c>
      <c r="T13" s="54"/>
      <c r="U13" s="114" t="s">
        <v>305</v>
      </c>
      <c r="V13" s="114"/>
      <c r="W13" s="114"/>
      <c r="X13" s="114"/>
      <c r="Y13" s="114"/>
      <c r="Z13" s="114"/>
      <c r="AA13" s="114"/>
      <c r="AC13" s="114"/>
      <c r="AD13" s="114"/>
      <c r="AE13" s="114"/>
      <c r="AF13" s="114"/>
      <c r="AG13" s="114"/>
      <c r="AH13" s="114"/>
      <c r="AI13" s="114"/>
      <c r="AJ13" s="114"/>
    </row>
    <row r="14" spans="1:36" x14ac:dyDescent="0.2">
      <c r="A14" s="109" t="s">
        <v>19</v>
      </c>
      <c r="B14" s="109"/>
      <c r="C14" s="109"/>
      <c r="D14" s="109"/>
      <c r="E14" s="109"/>
      <c r="F14" s="109"/>
      <c r="G14" s="109"/>
      <c r="H14" s="2">
        <v>0</v>
      </c>
      <c r="I14" s="2">
        <v>0</v>
      </c>
      <c r="J14" s="2">
        <v>0</v>
      </c>
      <c r="U14" s="114"/>
      <c r="V14" s="114"/>
      <c r="W14" s="114"/>
      <c r="X14" s="114"/>
      <c r="Y14" s="114"/>
      <c r="Z14" s="114"/>
      <c r="AA14" s="114"/>
      <c r="AC14" s="114"/>
      <c r="AD14" s="114"/>
      <c r="AE14" s="114"/>
      <c r="AF14" s="114"/>
      <c r="AG14" s="114"/>
      <c r="AH14" s="114"/>
      <c r="AI14" s="114"/>
      <c r="AJ14" s="114"/>
    </row>
    <row r="15" spans="1:36" x14ac:dyDescent="0.2">
      <c r="A15" s="109" t="s">
        <v>20</v>
      </c>
      <c r="B15" s="109"/>
      <c r="C15" s="109"/>
      <c r="D15" s="109"/>
      <c r="E15" s="109"/>
      <c r="F15" s="109"/>
      <c r="G15" s="109"/>
      <c r="H15" s="2">
        <v>64</v>
      </c>
      <c r="I15" s="2">
        <v>45</v>
      </c>
      <c r="J15" s="2">
        <v>105</v>
      </c>
      <c r="O15" s="150" t="s">
        <v>306</v>
      </c>
      <c r="P15" s="150"/>
      <c r="Q15" s="8">
        <f>H116/H6</f>
        <v>6.3348644057132072E-2</v>
      </c>
      <c r="R15" s="8">
        <f t="shared" ref="R15:S15" si="3">I116/I6</f>
        <v>8.6288642666359952E-2</v>
      </c>
      <c r="S15" s="8">
        <f t="shared" si="3"/>
        <v>7.6057948913457879E-2</v>
      </c>
      <c r="U15" s="130" t="s">
        <v>307</v>
      </c>
      <c r="V15" s="130"/>
      <c r="W15" s="130"/>
      <c r="X15" s="130"/>
      <c r="Y15" s="130"/>
      <c r="Z15" s="130"/>
      <c r="AA15" s="130"/>
      <c r="AC15" s="114"/>
      <c r="AD15" s="114"/>
      <c r="AE15" s="114"/>
      <c r="AF15" s="114"/>
      <c r="AG15" s="114"/>
      <c r="AH15" s="114"/>
      <c r="AI15" s="114"/>
      <c r="AJ15" s="114"/>
    </row>
    <row r="16" spans="1:36" x14ac:dyDescent="0.2">
      <c r="A16" s="116" t="s">
        <v>21</v>
      </c>
      <c r="B16" s="116"/>
      <c r="C16" s="116"/>
      <c r="D16" s="116"/>
      <c r="E16" s="116"/>
      <c r="F16" s="116"/>
      <c r="G16" s="116"/>
      <c r="H16" s="17">
        <v>63789</v>
      </c>
      <c r="I16" s="17">
        <v>38945</v>
      </c>
      <c r="J16" s="17">
        <v>38445</v>
      </c>
      <c r="U16" s="130"/>
      <c r="V16" s="130"/>
      <c r="W16" s="130"/>
      <c r="X16" s="130"/>
      <c r="Y16" s="130"/>
      <c r="Z16" s="130"/>
      <c r="AA16" s="130"/>
    </row>
    <row r="17" spans="1:27" x14ac:dyDescent="0.2">
      <c r="A17" s="109" t="s">
        <v>22</v>
      </c>
      <c r="B17" s="109"/>
      <c r="C17" s="109"/>
      <c r="D17" s="109"/>
      <c r="E17" s="109"/>
      <c r="F17" s="109"/>
      <c r="G17" s="109"/>
      <c r="H17" s="2">
        <v>13408</v>
      </c>
      <c r="I17" s="2">
        <v>15046</v>
      </c>
      <c r="J17" s="2">
        <v>10655</v>
      </c>
      <c r="O17" s="152" t="s">
        <v>308</v>
      </c>
      <c r="P17" s="152"/>
      <c r="Q17" s="53">
        <f>H116/H27</f>
        <v>5.1950464396284833E-2</v>
      </c>
      <c r="R17" s="53">
        <f>I116/I27</f>
        <v>8.2537742191797561E-2</v>
      </c>
      <c r="S17" s="53">
        <f>J116/J27</f>
        <v>7.2202259390429901E-2</v>
      </c>
      <c r="U17" s="114" t="s">
        <v>309</v>
      </c>
      <c r="V17" s="114"/>
      <c r="W17" s="114"/>
      <c r="X17" s="114"/>
      <c r="Y17" s="114"/>
      <c r="Z17" s="114"/>
      <c r="AA17" s="114"/>
    </row>
    <row r="18" spans="1:27" x14ac:dyDescent="0.2">
      <c r="A18" s="109" t="s">
        <v>23</v>
      </c>
      <c r="B18" s="109"/>
      <c r="C18" s="109"/>
      <c r="D18" s="109"/>
      <c r="E18" s="109"/>
      <c r="F18" s="109"/>
      <c r="G18" s="109"/>
      <c r="H18" s="2">
        <v>21446</v>
      </c>
      <c r="I18" s="2">
        <v>21273</v>
      </c>
      <c r="J18" s="2">
        <v>24825</v>
      </c>
      <c r="O18" s="33"/>
      <c r="P18" s="33"/>
      <c r="Q18" s="54"/>
      <c r="R18" s="54"/>
      <c r="S18" s="54"/>
      <c r="U18" s="114"/>
      <c r="V18" s="114"/>
      <c r="W18" s="114"/>
      <c r="X18" s="114"/>
      <c r="Y18" s="114"/>
      <c r="Z18" s="114"/>
      <c r="AA18" s="114"/>
    </row>
    <row r="19" spans="1:27" x14ac:dyDescent="0.2">
      <c r="A19" s="109" t="s">
        <v>24</v>
      </c>
      <c r="B19" s="109"/>
      <c r="C19" s="109"/>
      <c r="D19" s="109"/>
      <c r="E19" s="109"/>
      <c r="F19" s="109"/>
      <c r="G19" s="109"/>
      <c r="H19" s="2">
        <v>554</v>
      </c>
      <c r="I19" s="2">
        <v>0</v>
      </c>
      <c r="J19" s="2">
        <v>0</v>
      </c>
      <c r="O19" s="152" t="s">
        <v>310</v>
      </c>
      <c r="P19" s="152"/>
      <c r="Q19" s="53">
        <f>H67/H27</f>
        <v>0.12458204334365325</v>
      </c>
      <c r="R19" s="53">
        <f>I67/I27</f>
        <v>0.14309638775135994</v>
      </c>
      <c r="S19" s="53">
        <f>J67/J27</f>
        <v>0.14038466509836361</v>
      </c>
      <c r="U19" s="114" t="s">
        <v>311</v>
      </c>
      <c r="V19" s="114"/>
      <c r="W19" s="114"/>
      <c r="X19" s="114"/>
      <c r="Y19" s="114"/>
      <c r="Z19" s="114"/>
      <c r="AA19" s="114"/>
    </row>
    <row r="20" spans="1:27" x14ac:dyDescent="0.2">
      <c r="A20" s="109" t="s">
        <v>18</v>
      </c>
      <c r="B20" s="109"/>
      <c r="C20" s="109"/>
      <c r="D20" s="109"/>
      <c r="E20" s="109"/>
      <c r="F20" s="109"/>
      <c r="G20" s="109"/>
      <c r="H20" s="2">
        <v>2003</v>
      </c>
      <c r="I20" s="2">
        <v>2006</v>
      </c>
      <c r="J20" s="2">
        <v>2006</v>
      </c>
      <c r="O20" s="33"/>
      <c r="P20" s="33"/>
      <c r="Q20" s="54"/>
      <c r="R20" s="54"/>
      <c r="S20" s="54"/>
      <c r="U20" s="114"/>
      <c r="V20" s="114"/>
      <c r="W20" s="114"/>
      <c r="X20" s="114"/>
      <c r="Y20" s="114"/>
      <c r="Z20" s="114"/>
      <c r="AA20" s="114"/>
    </row>
    <row r="21" spans="1:27" x14ac:dyDescent="0.2">
      <c r="A21" s="109" t="s">
        <v>25</v>
      </c>
      <c r="B21" s="109"/>
      <c r="C21" s="109"/>
      <c r="D21" s="109"/>
      <c r="E21" s="109"/>
      <c r="F21" s="109"/>
      <c r="G21" s="109"/>
      <c r="H21" s="2">
        <v>26121</v>
      </c>
      <c r="I21" s="2">
        <v>374</v>
      </c>
      <c r="J21" s="2">
        <v>701</v>
      </c>
      <c r="O21" s="151" t="s">
        <v>312</v>
      </c>
      <c r="P21" s="151"/>
      <c r="Q21" s="53">
        <f>H67/H48</f>
        <v>0.14083554020789341</v>
      </c>
      <c r="R21" s="53">
        <f>I67/I48</f>
        <v>0.15812294849454958</v>
      </c>
      <c r="S21" s="53">
        <f>J67/J48</f>
        <v>0.14608721383800069</v>
      </c>
      <c r="U21" s="154" t="s">
        <v>313</v>
      </c>
      <c r="V21" s="154"/>
      <c r="W21" s="154"/>
      <c r="X21" s="154"/>
      <c r="Y21" s="154"/>
      <c r="Z21" s="154"/>
      <c r="AA21" s="154"/>
    </row>
    <row r="22" spans="1:27" x14ac:dyDescent="0.2">
      <c r="A22" s="109" t="s">
        <v>26</v>
      </c>
      <c r="B22" s="109"/>
      <c r="C22" s="109"/>
      <c r="D22" s="109"/>
      <c r="E22" s="109"/>
      <c r="F22" s="109"/>
      <c r="G22" s="109"/>
      <c r="H22" s="2">
        <v>257</v>
      </c>
      <c r="I22" s="2">
        <v>246</v>
      </c>
      <c r="J22" s="2">
        <v>258</v>
      </c>
      <c r="U22" s="154"/>
      <c r="V22" s="154"/>
      <c r="W22" s="154"/>
      <c r="X22" s="154"/>
      <c r="Y22" s="154"/>
      <c r="Z22" s="154"/>
      <c r="AA22" s="154"/>
    </row>
    <row r="23" spans="1:27" x14ac:dyDescent="0.2">
      <c r="A23" s="109" t="s">
        <v>27</v>
      </c>
      <c r="B23" s="109"/>
      <c r="C23" s="109"/>
      <c r="D23" s="109"/>
      <c r="E23" s="109"/>
      <c r="F23" s="109"/>
      <c r="G23" s="109"/>
      <c r="H23" s="2">
        <v>0</v>
      </c>
      <c r="I23" s="2">
        <v>0</v>
      </c>
      <c r="J23" s="2">
        <v>0</v>
      </c>
    </row>
    <row r="24" spans="1:27" x14ac:dyDescent="0.2">
      <c r="A24" s="115" t="s">
        <v>28</v>
      </c>
      <c r="B24" s="115"/>
      <c r="C24" s="115"/>
      <c r="D24" s="115"/>
      <c r="E24" s="115"/>
      <c r="F24" s="115"/>
      <c r="G24" s="115"/>
      <c r="H24" s="20">
        <v>182617</v>
      </c>
      <c r="I24" s="20">
        <v>155836</v>
      </c>
      <c r="J24" s="20">
        <v>151712</v>
      </c>
    </row>
    <row r="25" spans="1:27" x14ac:dyDescent="0.2">
      <c r="A25" s="138"/>
      <c r="B25" s="138"/>
      <c r="C25" s="138"/>
      <c r="D25" s="138"/>
      <c r="E25" s="138"/>
      <c r="F25" s="138"/>
      <c r="G25" s="138"/>
      <c r="H25" s="13"/>
      <c r="I25" s="13"/>
      <c r="J25" s="13"/>
    </row>
    <row r="26" spans="1:27" x14ac:dyDescent="0.2">
      <c r="A26" s="153" t="s">
        <v>29</v>
      </c>
      <c r="B26" s="153"/>
      <c r="C26" s="153"/>
      <c r="D26" s="153"/>
      <c r="E26" s="153"/>
      <c r="F26" s="153"/>
      <c r="G26" s="153"/>
      <c r="H26" s="27"/>
      <c r="I26" s="27"/>
      <c r="J26" s="27"/>
    </row>
    <row r="27" spans="1:27" x14ac:dyDescent="0.2">
      <c r="A27" s="115" t="s">
        <v>30</v>
      </c>
      <c r="B27" s="115"/>
      <c r="C27" s="115"/>
      <c r="D27" s="115"/>
      <c r="E27" s="115"/>
      <c r="F27" s="115"/>
      <c r="G27" s="115"/>
      <c r="H27" s="24">
        <v>96900</v>
      </c>
      <c r="I27" s="24">
        <v>81805</v>
      </c>
      <c r="J27" s="24">
        <v>77366</v>
      </c>
    </row>
    <row r="28" spans="1:27" x14ac:dyDescent="0.2">
      <c r="A28" s="120" t="s">
        <v>31</v>
      </c>
      <c r="B28" s="120"/>
      <c r="C28" s="120"/>
      <c r="D28" s="120"/>
      <c r="E28" s="120"/>
      <c r="F28" s="120"/>
      <c r="G28" s="120"/>
      <c r="H28" s="2">
        <v>27750</v>
      </c>
      <c r="I28" s="2">
        <v>27750</v>
      </c>
      <c r="J28" s="2">
        <v>27750</v>
      </c>
    </row>
    <row r="29" spans="1:27" x14ac:dyDescent="0.2">
      <c r="A29" s="109" t="s">
        <v>32</v>
      </c>
      <c r="B29" s="109"/>
      <c r="C29" s="109"/>
      <c r="D29" s="109"/>
      <c r="E29" s="109"/>
      <c r="F29" s="109"/>
      <c r="G29" s="109"/>
      <c r="H29" s="2">
        <v>39228</v>
      </c>
      <c r="I29" s="2">
        <v>35303</v>
      </c>
      <c r="J29" s="2">
        <v>32362</v>
      </c>
    </row>
    <row r="30" spans="1:27" x14ac:dyDescent="0.2">
      <c r="A30" s="120" t="s">
        <v>33</v>
      </c>
      <c r="B30" s="120"/>
      <c r="C30" s="120"/>
      <c r="D30" s="120"/>
      <c r="E30" s="120"/>
      <c r="F30" s="120"/>
      <c r="G30" s="120"/>
      <c r="H30" s="2">
        <v>24888</v>
      </c>
      <c r="I30" s="2">
        <v>12000</v>
      </c>
      <c r="J30" s="2">
        <v>12000</v>
      </c>
    </row>
    <row r="31" spans="1:27" x14ac:dyDescent="0.2">
      <c r="A31" s="109" t="s">
        <v>34</v>
      </c>
      <c r="B31" s="109"/>
      <c r="C31" s="109"/>
      <c r="D31" s="109"/>
      <c r="E31" s="109"/>
      <c r="F31" s="109"/>
      <c r="G31" s="109"/>
      <c r="H31" s="2">
        <v>5034</v>
      </c>
      <c r="I31" s="2">
        <v>6752</v>
      </c>
      <c r="J31" s="2">
        <v>5586</v>
      </c>
    </row>
    <row r="32" spans="1:27" x14ac:dyDescent="0.2">
      <c r="A32" s="123" t="s">
        <v>35</v>
      </c>
      <c r="B32" s="123"/>
      <c r="C32" s="123"/>
      <c r="D32" s="123"/>
      <c r="E32" s="123"/>
      <c r="F32" s="123"/>
      <c r="G32" s="123"/>
      <c r="H32" s="23">
        <v>41997</v>
      </c>
      <c r="I32" s="23">
        <v>32616</v>
      </c>
      <c r="J32" s="23">
        <v>34449</v>
      </c>
    </row>
    <row r="33" spans="1:10" x14ac:dyDescent="0.2">
      <c r="A33" s="109" t="s">
        <v>36</v>
      </c>
      <c r="B33" s="109"/>
      <c r="C33" s="109"/>
      <c r="D33" s="109"/>
      <c r="E33" s="109"/>
      <c r="F33" s="109"/>
      <c r="G33" s="109"/>
      <c r="H33" s="2">
        <v>3065</v>
      </c>
      <c r="I33" s="2">
        <v>2942</v>
      </c>
      <c r="J33" s="2">
        <v>3250</v>
      </c>
    </row>
    <row r="34" spans="1:10" x14ac:dyDescent="0.2">
      <c r="A34" s="109" t="s">
        <v>37</v>
      </c>
      <c r="B34" s="109"/>
      <c r="C34" s="109"/>
      <c r="D34" s="109"/>
      <c r="E34" s="109"/>
      <c r="F34" s="109"/>
      <c r="G34" s="109"/>
      <c r="H34" s="2">
        <v>18027</v>
      </c>
      <c r="I34" s="2">
        <v>7949</v>
      </c>
      <c r="J34" s="2">
        <v>14772</v>
      </c>
    </row>
    <row r="35" spans="1:10" x14ac:dyDescent="0.2">
      <c r="A35" s="109" t="s">
        <v>38</v>
      </c>
      <c r="B35" s="109"/>
      <c r="C35" s="109"/>
      <c r="D35" s="109"/>
      <c r="E35" s="109"/>
      <c r="F35" s="109"/>
      <c r="G35" s="109"/>
      <c r="H35" s="2">
        <v>215</v>
      </c>
      <c r="I35" s="2">
        <v>1104</v>
      </c>
      <c r="J35" s="2">
        <v>0</v>
      </c>
    </row>
    <row r="36" spans="1:10" x14ac:dyDescent="0.2">
      <c r="A36" s="120" t="s">
        <v>39</v>
      </c>
      <c r="B36" s="120"/>
      <c r="C36" s="120"/>
      <c r="D36" s="120"/>
      <c r="E36" s="120"/>
      <c r="F36" s="120"/>
      <c r="G36" s="120"/>
      <c r="H36" s="2">
        <v>345</v>
      </c>
      <c r="I36" s="2">
        <v>336</v>
      </c>
      <c r="J36" s="2">
        <v>300</v>
      </c>
    </row>
    <row r="37" spans="1:10" x14ac:dyDescent="0.2">
      <c r="A37" s="109" t="s">
        <v>40</v>
      </c>
      <c r="B37" s="109"/>
      <c r="C37" s="109"/>
      <c r="D37" s="109"/>
      <c r="E37" s="109"/>
      <c r="F37" s="109"/>
      <c r="G37" s="109"/>
      <c r="H37" s="2">
        <v>16777</v>
      </c>
      <c r="I37" s="2">
        <v>16944</v>
      </c>
      <c r="J37" s="2">
        <v>11711</v>
      </c>
    </row>
    <row r="38" spans="1:10" x14ac:dyDescent="0.2">
      <c r="A38" s="109" t="s">
        <v>41</v>
      </c>
      <c r="B38" s="109"/>
      <c r="C38" s="109"/>
      <c r="D38" s="109"/>
      <c r="E38" s="109"/>
      <c r="F38" s="109"/>
      <c r="G38" s="109"/>
      <c r="H38" s="2">
        <v>3568</v>
      </c>
      <c r="I38" s="2">
        <v>3341</v>
      </c>
      <c r="J38" s="2">
        <v>1141</v>
      </c>
    </row>
    <row r="39" spans="1:10" x14ac:dyDescent="0.2">
      <c r="A39" s="116" t="s">
        <v>42</v>
      </c>
      <c r="B39" s="116"/>
      <c r="C39" s="116"/>
      <c r="D39" s="116"/>
      <c r="E39" s="116"/>
      <c r="F39" s="116"/>
      <c r="G39" s="116"/>
      <c r="H39" s="23">
        <v>43720</v>
      </c>
      <c r="I39" s="23">
        <v>41415</v>
      </c>
      <c r="J39" s="23">
        <v>39897</v>
      </c>
    </row>
    <row r="40" spans="1:10" x14ac:dyDescent="0.2">
      <c r="A40" s="109" t="s">
        <v>43</v>
      </c>
      <c r="B40" s="109"/>
      <c r="C40" s="109"/>
      <c r="D40" s="109"/>
      <c r="E40" s="109"/>
      <c r="F40" s="109"/>
      <c r="G40" s="109"/>
      <c r="H40" s="2">
        <v>11432</v>
      </c>
      <c r="I40" s="2">
        <v>11336</v>
      </c>
      <c r="J40" s="2">
        <v>10907</v>
      </c>
    </row>
    <row r="41" spans="1:10" x14ac:dyDescent="0.2">
      <c r="A41" s="109" t="s">
        <v>44</v>
      </c>
      <c r="B41" s="109"/>
      <c r="C41" s="109"/>
      <c r="D41" s="109"/>
      <c r="E41" s="109"/>
      <c r="F41" s="109"/>
      <c r="G41" s="109"/>
      <c r="H41" s="2">
        <v>368</v>
      </c>
      <c r="I41" s="2">
        <v>368</v>
      </c>
      <c r="J41" s="2">
        <v>0</v>
      </c>
    </row>
    <row r="42" spans="1:10" x14ac:dyDescent="0.2">
      <c r="A42" s="109" t="s">
        <v>45</v>
      </c>
      <c r="B42" s="109"/>
      <c r="C42" s="109"/>
      <c r="D42" s="109"/>
      <c r="E42" s="109"/>
      <c r="F42" s="109"/>
      <c r="G42" s="109"/>
      <c r="H42" s="2">
        <v>1391</v>
      </c>
      <c r="I42" s="2">
        <v>1381</v>
      </c>
      <c r="J42" s="2">
        <v>685</v>
      </c>
    </row>
    <row r="43" spans="1:10" x14ac:dyDescent="0.2">
      <c r="A43" s="109" t="s">
        <v>46</v>
      </c>
      <c r="B43" s="109"/>
      <c r="C43" s="109"/>
      <c r="D43" s="109"/>
      <c r="E43" s="109"/>
      <c r="F43" s="109"/>
      <c r="G43" s="109"/>
      <c r="H43" s="2">
        <v>28365</v>
      </c>
      <c r="I43" s="2">
        <v>24999</v>
      </c>
      <c r="J43" s="2">
        <v>25411</v>
      </c>
    </row>
    <row r="44" spans="1:10" x14ac:dyDescent="0.2">
      <c r="A44" s="109" t="s">
        <v>47</v>
      </c>
      <c r="B44" s="109"/>
      <c r="C44" s="109"/>
      <c r="D44" s="109"/>
      <c r="E44" s="109"/>
      <c r="F44" s="109"/>
      <c r="G44" s="109"/>
      <c r="H44" s="2">
        <v>0</v>
      </c>
      <c r="I44" s="2">
        <v>1001</v>
      </c>
      <c r="J44" s="2">
        <v>426</v>
      </c>
    </row>
    <row r="45" spans="1:10" x14ac:dyDescent="0.2">
      <c r="A45" s="109" t="s">
        <v>48</v>
      </c>
      <c r="B45" s="109"/>
      <c r="C45" s="109"/>
      <c r="D45" s="109"/>
      <c r="E45" s="109"/>
      <c r="F45" s="109"/>
      <c r="G45" s="109"/>
      <c r="H45" s="2">
        <v>1302</v>
      </c>
      <c r="I45" s="2">
        <v>1149</v>
      </c>
      <c r="J45" s="2">
        <v>885</v>
      </c>
    </row>
    <row r="46" spans="1:10" x14ac:dyDescent="0.2">
      <c r="A46" s="109" t="s">
        <v>49</v>
      </c>
      <c r="B46" s="109"/>
      <c r="C46" s="109"/>
      <c r="D46" s="109"/>
      <c r="E46" s="109"/>
      <c r="F46" s="109"/>
      <c r="G46" s="109"/>
      <c r="H46" s="2">
        <v>862</v>
      </c>
      <c r="I46" s="2">
        <v>1181</v>
      </c>
      <c r="J46" s="2">
        <v>699</v>
      </c>
    </row>
    <row r="47" spans="1:10" x14ac:dyDescent="0.2">
      <c r="A47" s="109" t="s">
        <v>50</v>
      </c>
      <c r="B47" s="109"/>
      <c r="C47" s="109"/>
      <c r="D47" s="109"/>
      <c r="E47" s="109"/>
      <c r="F47" s="109"/>
      <c r="G47" s="109"/>
      <c r="H47" s="2">
        <v>0</v>
      </c>
      <c r="I47" s="2">
        <v>0</v>
      </c>
      <c r="J47" s="2">
        <v>0</v>
      </c>
    </row>
    <row r="48" spans="1:10" x14ac:dyDescent="0.2">
      <c r="A48" s="115" t="s">
        <v>51</v>
      </c>
      <c r="B48" s="115"/>
      <c r="C48" s="115"/>
      <c r="D48" s="115"/>
      <c r="E48" s="115"/>
      <c r="F48" s="115"/>
      <c r="G48" s="115"/>
      <c r="H48" s="24">
        <v>85717</v>
      </c>
      <c r="I48" s="24">
        <v>74031</v>
      </c>
      <c r="J48" s="24">
        <v>74346</v>
      </c>
    </row>
    <row r="49" spans="1:10" x14ac:dyDescent="0.2">
      <c r="A49" s="155" t="s">
        <v>52</v>
      </c>
      <c r="B49" s="155"/>
      <c r="C49" s="155"/>
      <c r="D49" s="155"/>
      <c r="E49" s="155"/>
      <c r="F49" s="155"/>
      <c r="G49" s="155"/>
      <c r="H49" s="25">
        <v>182617</v>
      </c>
      <c r="I49" s="25">
        <v>155836</v>
      </c>
      <c r="J49" s="25">
        <v>151712</v>
      </c>
    </row>
    <row r="51" spans="1:10" x14ac:dyDescent="0.2">
      <c r="A51" s="155" t="s">
        <v>258</v>
      </c>
      <c r="B51" s="155"/>
      <c r="C51" s="155"/>
      <c r="D51" s="155"/>
      <c r="E51" s="155"/>
      <c r="F51" s="155"/>
      <c r="G51" s="155"/>
      <c r="H51" s="27">
        <v>2021</v>
      </c>
      <c r="I51" s="27">
        <v>2020</v>
      </c>
      <c r="J51" s="27">
        <v>2019</v>
      </c>
    </row>
    <row r="52" spans="1:10" x14ac:dyDescent="0.2">
      <c r="A52" s="143" t="s">
        <v>54</v>
      </c>
      <c r="B52" s="143"/>
      <c r="C52" s="143"/>
      <c r="D52" s="143"/>
      <c r="E52" s="143"/>
      <c r="F52" s="143"/>
      <c r="G52" s="143"/>
      <c r="H52" s="34"/>
      <c r="I52" s="34"/>
      <c r="J52" s="34"/>
    </row>
    <row r="53" spans="1:10" x14ac:dyDescent="0.2">
      <c r="A53" s="109" t="s">
        <v>55</v>
      </c>
      <c r="B53" s="109"/>
      <c r="C53" s="109"/>
      <c r="D53" s="109"/>
      <c r="E53" s="109"/>
      <c r="F53" s="109"/>
      <c r="G53" s="109"/>
      <c r="H53" s="22">
        <v>6038</v>
      </c>
      <c r="I53" s="22">
        <v>8566</v>
      </c>
      <c r="J53" s="22">
        <v>7034</v>
      </c>
    </row>
    <row r="54" spans="1:10" x14ac:dyDescent="0.2">
      <c r="A54" s="109" t="s">
        <v>56</v>
      </c>
      <c r="B54" s="109"/>
      <c r="C54" s="109"/>
      <c r="D54" s="109"/>
      <c r="E54" s="109"/>
      <c r="F54" s="109"/>
      <c r="G54" s="109"/>
      <c r="H54" s="22">
        <v>0</v>
      </c>
      <c r="I54" s="22">
        <v>3140</v>
      </c>
      <c r="J54" s="22">
        <v>3827</v>
      </c>
    </row>
    <row r="55" spans="1:10" x14ac:dyDescent="0.2">
      <c r="A55" s="109" t="s">
        <v>57</v>
      </c>
      <c r="B55" s="109"/>
      <c r="C55" s="109"/>
      <c r="D55" s="109"/>
      <c r="E55" s="109"/>
      <c r="F55" s="109"/>
      <c r="G55" s="109"/>
      <c r="H55" s="22">
        <v>6110</v>
      </c>
      <c r="I55" s="22">
        <v>5891</v>
      </c>
      <c r="J55" s="22">
        <v>5228</v>
      </c>
    </row>
    <row r="56" spans="1:10" x14ac:dyDescent="0.2">
      <c r="A56" s="109" t="s">
        <v>58</v>
      </c>
      <c r="B56" s="109"/>
      <c r="C56" s="109"/>
      <c r="D56" s="109"/>
      <c r="E56" s="109"/>
      <c r="F56" s="109"/>
      <c r="G56" s="109"/>
      <c r="H56" s="22">
        <v>5</v>
      </c>
      <c r="I56" s="22">
        <v>-7</v>
      </c>
      <c r="J56" s="22">
        <v>7</v>
      </c>
    </row>
    <row r="57" spans="1:10" x14ac:dyDescent="0.2">
      <c r="A57" s="109" t="s">
        <v>59</v>
      </c>
      <c r="B57" s="109"/>
      <c r="C57" s="109"/>
      <c r="D57" s="109"/>
      <c r="E57" s="109"/>
      <c r="F57" s="109"/>
      <c r="G57" s="109"/>
      <c r="H57" s="22">
        <v>443</v>
      </c>
      <c r="I57" s="22">
        <v>609</v>
      </c>
      <c r="J57" s="22">
        <v>858</v>
      </c>
    </row>
    <row r="58" spans="1:10" x14ac:dyDescent="0.2">
      <c r="A58" s="120" t="s">
        <v>60</v>
      </c>
      <c r="B58" s="120"/>
      <c r="C58" s="120"/>
      <c r="D58" s="120"/>
      <c r="E58" s="120"/>
      <c r="F58" s="120"/>
      <c r="G58" s="120"/>
      <c r="H58" s="22">
        <v>-70</v>
      </c>
      <c r="I58" s="22">
        <v>-727</v>
      </c>
      <c r="J58" s="22">
        <v>-62</v>
      </c>
    </row>
    <row r="59" spans="1:10" x14ac:dyDescent="0.2">
      <c r="A59" s="120" t="s">
        <v>61</v>
      </c>
      <c r="B59" s="120"/>
      <c r="C59" s="120"/>
      <c r="D59" s="120"/>
      <c r="E59" s="120"/>
      <c r="F59" s="120"/>
      <c r="G59" s="120"/>
      <c r="H59" s="22">
        <v>-310</v>
      </c>
      <c r="I59" s="22">
        <v>518</v>
      </c>
      <c r="J59" s="22">
        <v>88</v>
      </c>
    </row>
    <row r="60" spans="1:10" x14ac:dyDescent="0.2">
      <c r="A60" s="109" t="s">
        <v>62</v>
      </c>
      <c r="B60" s="109"/>
      <c r="C60" s="109"/>
      <c r="D60" s="109"/>
      <c r="E60" s="109"/>
      <c r="F60" s="109"/>
      <c r="G60" s="109"/>
      <c r="H60" s="22">
        <v>1639</v>
      </c>
      <c r="I60" s="22">
        <v>-4391</v>
      </c>
      <c r="J60" s="22">
        <v>712</v>
      </c>
    </row>
    <row r="61" spans="1:10" x14ac:dyDescent="0.2">
      <c r="A61" s="120" t="s">
        <v>63</v>
      </c>
      <c r="B61" s="120"/>
      <c r="C61" s="120"/>
      <c r="D61" s="120"/>
      <c r="E61" s="120"/>
      <c r="F61" s="120"/>
      <c r="G61" s="120"/>
      <c r="H61" s="22">
        <v>-128</v>
      </c>
      <c r="I61" s="22">
        <v>3628</v>
      </c>
      <c r="J61" s="22">
        <v>-2380</v>
      </c>
    </row>
    <row r="62" spans="1:10" x14ac:dyDescent="0.2">
      <c r="A62" s="109" t="s">
        <v>64</v>
      </c>
      <c r="B62" s="109"/>
      <c r="C62" s="109"/>
      <c r="D62" s="109"/>
      <c r="E62" s="109"/>
      <c r="F62" s="109"/>
      <c r="G62" s="109"/>
      <c r="H62" s="22">
        <v>2372</v>
      </c>
      <c r="I62" s="22">
        <v>-292</v>
      </c>
      <c r="J62" s="22">
        <v>686</v>
      </c>
    </row>
    <row r="63" spans="1:10" x14ac:dyDescent="0.2">
      <c r="A63" s="109" t="s">
        <v>65</v>
      </c>
      <c r="B63" s="109"/>
      <c r="C63" s="109"/>
      <c r="D63" s="109"/>
      <c r="E63" s="109"/>
      <c r="F63" s="109"/>
      <c r="G63" s="109"/>
      <c r="H63" s="22">
        <v>-1591</v>
      </c>
      <c r="I63" s="22">
        <v>-542</v>
      </c>
      <c r="J63" s="22">
        <v>0</v>
      </c>
    </row>
    <row r="64" spans="1:10" x14ac:dyDescent="0.2">
      <c r="A64" s="109" t="s">
        <v>66</v>
      </c>
      <c r="B64" s="109"/>
      <c r="C64" s="109"/>
      <c r="D64" s="109"/>
      <c r="E64" s="109"/>
      <c r="F64" s="109"/>
      <c r="G64" s="109"/>
      <c r="H64" s="22">
        <v>8470</v>
      </c>
      <c r="I64" s="22">
        <v>4687</v>
      </c>
      <c r="J64" s="22">
        <v>0</v>
      </c>
    </row>
    <row r="65" spans="1:10" x14ac:dyDescent="0.2">
      <c r="A65" s="120" t="s">
        <v>67</v>
      </c>
      <c r="B65" s="120"/>
      <c r="C65" s="120"/>
      <c r="D65" s="120"/>
      <c r="E65" s="120"/>
      <c r="F65" s="120"/>
      <c r="G65" s="120"/>
      <c r="H65" s="22">
        <v>0</v>
      </c>
      <c r="I65" s="22">
        <v>0</v>
      </c>
      <c r="J65" s="22">
        <v>0</v>
      </c>
    </row>
    <row r="66" spans="1:10" x14ac:dyDescent="0.2">
      <c r="A66" s="109" t="s">
        <v>68</v>
      </c>
      <c r="B66" s="109"/>
      <c r="C66" s="109"/>
      <c r="D66" s="109"/>
      <c r="E66" s="109"/>
      <c r="F66" s="109"/>
      <c r="G66" s="109"/>
      <c r="H66" s="22">
        <v>-2436</v>
      </c>
      <c r="I66" s="22">
        <v>-1547</v>
      </c>
      <c r="J66" s="22">
        <v>-1310</v>
      </c>
    </row>
    <row r="67" spans="1:10" x14ac:dyDescent="0.2">
      <c r="A67" s="129" t="s">
        <v>69</v>
      </c>
      <c r="B67" s="129"/>
      <c r="C67" s="129"/>
      <c r="D67" s="129"/>
      <c r="E67" s="129"/>
      <c r="F67" s="129"/>
      <c r="G67" s="129"/>
      <c r="H67" s="35">
        <v>12072</v>
      </c>
      <c r="I67" s="35">
        <v>11706</v>
      </c>
      <c r="J67" s="35">
        <v>10861</v>
      </c>
    </row>
    <row r="68" spans="1:10" x14ac:dyDescent="0.2">
      <c r="A68" s="115" t="s">
        <v>70</v>
      </c>
      <c r="B68" s="115"/>
      <c r="C68" s="115"/>
      <c r="D68" s="115"/>
      <c r="E68" s="115"/>
      <c r="F68" s="115"/>
      <c r="G68" s="115"/>
      <c r="H68" s="34"/>
      <c r="I68" s="34"/>
      <c r="J68" s="34"/>
    </row>
    <row r="69" spans="1:10" x14ac:dyDescent="0.2">
      <c r="A69" s="109" t="s">
        <v>71</v>
      </c>
      <c r="B69" s="109"/>
      <c r="C69" s="109"/>
      <c r="D69" s="109"/>
      <c r="E69" s="109"/>
      <c r="F69" s="109"/>
      <c r="G69" s="109"/>
      <c r="H69" s="22">
        <v>521</v>
      </c>
      <c r="I69" s="22">
        <v>1914</v>
      </c>
      <c r="J69" s="22">
        <v>511</v>
      </c>
    </row>
    <row r="70" spans="1:10" x14ac:dyDescent="0.2">
      <c r="A70" s="109" t="s">
        <v>72</v>
      </c>
      <c r="B70" s="109"/>
      <c r="C70" s="109"/>
      <c r="D70" s="109"/>
      <c r="E70" s="109"/>
      <c r="F70" s="109"/>
      <c r="G70" s="109"/>
      <c r="H70" s="22">
        <v>0</v>
      </c>
      <c r="I70" s="22">
        <v>0</v>
      </c>
      <c r="J70" s="22">
        <v>0</v>
      </c>
    </row>
    <row r="71" spans="1:10" x14ac:dyDescent="0.2">
      <c r="A71" s="109" t="s">
        <v>73</v>
      </c>
      <c r="B71" s="109"/>
      <c r="C71" s="109"/>
      <c r="D71" s="109"/>
      <c r="E71" s="109"/>
      <c r="F71" s="109"/>
      <c r="G71" s="109"/>
      <c r="H71" s="22">
        <v>-7050</v>
      </c>
      <c r="I71" s="22">
        <v>-11502</v>
      </c>
      <c r="J71" s="22">
        <v>-16569</v>
      </c>
    </row>
    <row r="72" spans="1:10" x14ac:dyDescent="0.2">
      <c r="A72" s="120" t="s">
        <v>74</v>
      </c>
      <c r="B72" s="120"/>
      <c r="C72" s="120"/>
      <c r="D72" s="120"/>
      <c r="E72" s="120"/>
      <c r="F72" s="120"/>
      <c r="G72" s="120"/>
      <c r="H72" s="22">
        <v>0</v>
      </c>
      <c r="I72" s="22">
        <v>0</v>
      </c>
      <c r="J72" s="22">
        <v>0</v>
      </c>
    </row>
    <row r="73" spans="1:10" x14ac:dyDescent="0.2">
      <c r="A73" s="109" t="s">
        <v>75</v>
      </c>
      <c r="B73" s="109"/>
      <c r="C73" s="109"/>
      <c r="D73" s="109"/>
      <c r="E73" s="109"/>
      <c r="F73" s="109"/>
      <c r="G73" s="109"/>
      <c r="H73" s="22">
        <v>40</v>
      </c>
      <c r="I73" s="22">
        <v>66</v>
      </c>
      <c r="J73" s="22">
        <v>66</v>
      </c>
    </row>
    <row r="74" spans="1:10" x14ac:dyDescent="0.2">
      <c r="A74" s="109" t="s">
        <v>76</v>
      </c>
      <c r="B74" s="109"/>
      <c r="C74" s="109"/>
      <c r="D74" s="109"/>
      <c r="E74" s="109"/>
      <c r="F74" s="109"/>
      <c r="G74" s="109"/>
      <c r="H74" s="22">
        <v>0</v>
      </c>
      <c r="I74" s="22">
        <v>0</v>
      </c>
      <c r="J74" s="22">
        <v>0</v>
      </c>
    </row>
    <row r="75" spans="1:10" x14ac:dyDescent="0.2">
      <c r="A75" s="109" t="s">
        <v>18</v>
      </c>
      <c r="B75" s="109"/>
      <c r="C75" s="109"/>
      <c r="D75" s="109"/>
      <c r="E75" s="109"/>
      <c r="F75" s="109"/>
      <c r="G75" s="109"/>
      <c r="H75" s="22">
        <v>0</v>
      </c>
      <c r="I75" s="22">
        <v>0</v>
      </c>
      <c r="J75" s="22">
        <v>0</v>
      </c>
    </row>
    <row r="76" spans="1:10" x14ac:dyDescent="0.2">
      <c r="A76" s="109" t="s">
        <v>77</v>
      </c>
      <c r="B76" s="109"/>
      <c r="C76" s="109"/>
      <c r="D76" s="109"/>
      <c r="E76" s="109"/>
      <c r="F76" s="109"/>
      <c r="G76" s="109"/>
      <c r="H76" s="22">
        <v>0</v>
      </c>
      <c r="I76" s="22">
        <v>0</v>
      </c>
      <c r="J76" s="22">
        <v>0</v>
      </c>
    </row>
    <row r="77" spans="1:10" x14ac:dyDescent="0.2">
      <c r="A77" s="129" t="s">
        <v>78</v>
      </c>
      <c r="B77" s="129"/>
      <c r="C77" s="129"/>
      <c r="D77" s="129"/>
      <c r="E77" s="129"/>
      <c r="F77" s="129"/>
      <c r="G77" s="129"/>
      <c r="H77" s="35">
        <v>-6489</v>
      </c>
      <c r="I77" s="35">
        <v>-9522</v>
      </c>
      <c r="J77" s="35">
        <v>-15992</v>
      </c>
    </row>
    <row r="78" spans="1:10" x14ac:dyDescent="0.2">
      <c r="A78" s="115" t="s">
        <v>79</v>
      </c>
      <c r="B78" s="115"/>
      <c r="C78" s="115"/>
      <c r="D78" s="115"/>
      <c r="E78" s="115"/>
      <c r="F78" s="115"/>
      <c r="G78" s="115"/>
      <c r="H78" s="34"/>
      <c r="I78" s="34"/>
      <c r="J78" s="34"/>
    </row>
    <row r="79" spans="1:10" x14ac:dyDescent="0.2">
      <c r="A79" s="109" t="s">
        <v>80</v>
      </c>
      <c r="B79" s="109"/>
      <c r="C79" s="109"/>
      <c r="D79" s="109"/>
      <c r="E79" s="109"/>
      <c r="F79" s="109"/>
      <c r="G79" s="109"/>
      <c r="H79" s="22">
        <v>20669</v>
      </c>
      <c r="I79" s="22">
        <v>3922</v>
      </c>
      <c r="J79" s="22">
        <v>15459</v>
      </c>
    </row>
    <row r="80" spans="1:10" x14ac:dyDescent="0.2">
      <c r="A80" s="109" t="s">
        <v>81</v>
      </c>
      <c r="B80" s="109"/>
      <c r="C80" s="109"/>
      <c r="D80" s="109"/>
      <c r="E80" s="109"/>
      <c r="F80" s="109"/>
      <c r="G80" s="109"/>
      <c r="H80" s="22">
        <v>12888</v>
      </c>
      <c r="I80" s="22">
        <v>0</v>
      </c>
      <c r="J80" s="22">
        <v>0</v>
      </c>
    </row>
    <row r="81" spans="1:10" x14ac:dyDescent="0.2">
      <c r="A81" s="120" t="s">
        <v>82</v>
      </c>
      <c r="B81" s="120"/>
      <c r="C81" s="120"/>
      <c r="D81" s="120"/>
      <c r="E81" s="120"/>
      <c r="F81" s="120"/>
      <c r="G81" s="120"/>
      <c r="H81" s="22">
        <v>-10495</v>
      </c>
      <c r="I81" s="22">
        <v>-10316</v>
      </c>
      <c r="J81" s="22">
        <v>-11490</v>
      </c>
    </row>
    <row r="82" spans="1:10" x14ac:dyDescent="0.2">
      <c r="A82" s="109" t="s">
        <v>83</v>
      </c>
      <c r="B82" s="109"/>
      <c r="C82" s="109"/>
      <c r="D82" s="109"/>
      <c r="E82" s="109"/>
      <c r="F82" s="109"/>
      <c r="G82" s="109"/>
      <c r="H82" s="22">
        <v>-1685</v>
      </c>
      <c r="I82" s="22">
        <v>-1686</v>
      </c>
      <c r="J82" s="22">
        <v>-1947</v>
      </c>
    </row>
    <row r="83" spans="1:10" x14ac:dyDescent="0.2">
      <c r="A83" s="109" t="s">
        <v>84</v>
      </c>
      <c r="B83" s="109"/>
      <c r="C83" s="109"/>
      <c r="D83" s="109"/>
      <c r="E83" s="109"/>
      <c r="F83" s="109"/>
      <c r="G83" s="109"/>
      <c r="H83" s="22">
        <v>-481</v>
      </c>
      <c r="I83" s="22">
        <v>-675</v>
      </c>
      <c r="J83" s="22">
        <v>-924</v>
      </c>
    </row>
    <row r="84" spans="1:10" x14ac:dyDescent="0.2">
      <c r="A84" s="109" t="s">
        <v>85</v>
      </c>
      <c r="B84" s="109"/>
      <c r="C84" s="109"/>
      <c r="D84" s="109"/>
      <c r="E84" s="109"/>
      <c r="F84" s="109"/>
      <c r="G84" s="109"/>
      <c r="H84" s="22">
        <v>-153</v>
      </c>
      <c r="I84" s="22">
        <v>0</v>
      </c>
      <c r="J84" s="22">
        <v>0</v>
      </c>
    </row>
    <row r="85" spans="1:10" x14ac:dyDescent="0.2">
      <c r="A85" s="109" t="s">
        <v>86</v>
      </c>
      <c r="B85" s="109"/>
      <c r="C85" s="109"/>
      <c r="D85" s="109"/>
      <c r="E85" s="109"/>
      <c r="F85" s="109"/>
      <c r="G85" s="109"/>
      <c r="H85" s="22">
        <v>-2775</v>
      </c>
      <c r="I85" s="22">
        <v>-2313</v>
      </c>
      <c r="J85" s="22">
        <v>-2313</v>
      </c>
    </row>
    <row r="86" spans="1:10" x14ac:dyDescent="0.2">
      <c r="A86" s="109" t="s">
        <v>87</v>
      </c>
      <c r="B86" s="109"/>
      <c r="C86" s="109"/>
      <c r="D86" s="109"/>
      <c r="E86" s="109"/>
      <c r="F86" s="109"/>
      <c r="G86" s="109"/>
      <c r="H86" s="22">
        <v>0</v>
      </c>
      <c r="I86" s="22">
        <v>0</v>
      </c>
      <c r="J86" s="22">
        <v>0</v>
      </c>
    </row>
    <row r="87" spans="1:10" x14ac:dyDescent="0.2">
      <c r="A87" s="109" t="s">
        <v>88</v>
      </c>
      <c r="B87" s="109"/>
      <c r="C87" s="109"/>
      <c r="D87" s="109"/>
      <c r="E87" s="109"/>
      <c r="F87" s="109"/>
      <c r="G87" s="109"/>
      <c r="H87" s="22">
        <v>2201</v>
      </c>
      <c r="I87" s="22">
        <v>8550</v>
      </c>
      <c r="J87" s="22">
        <v>0</v>
      </c>
    </row>
    <row r="88" spans="1:10" x14ac:dyDescent="0.2">
      <c r="A88" s="129" t="s">
        <v>89</v>
      </c>
      <c r="B88" s="129"/>
      <c r="C88" s="129"/>
      <c r="D88" s="129"/>
      <c r="E88" s="129"/>
      <c r="F88" s="129"/>
      <c r="G88" s="129"/>
      <c r="H88" s="35">
        <v>20169</v>
      </c>
      <c r="I88" s="35">
        <v>-2518</v>
      </c>
      <c r="J88" s="35">
        <v>5545</v>
      </c>
    </row>
    <row r="89" spans="1:10" x14ac:dyDescent="0.2">
      <c r="A89" s="109" t="s">
        <v>90</v>
      </c>
      <c r="B89" s="109"/>
      <c r="C89" s="109"/>
      <c r="D89" s="109"/>
      <c r="E89" s="109"/>
      <c r="F89" s="109"/>
      <c r="G89" s="109"/>
      <c r="H89" s="22">
        <v>25752</v>
      </c>
      <c r="I89" s="22">
        <v>-334</v>
      </c>
      <c r="J89" s="22">
        <v>414</v>
      </c>
    </row>
    <row r="90" spans="1:10" x14ac:dyDescent="0.2">
      <c r="A90" s="109" t="s">
        <v>91</v>
      </c>
      <c r="B90" s="109"/>
      <c r="C90" s="109"/>
      <c r="D90" s="109"/>
      <c r="E90" s="109"/>
      <c r="F90" s="109"/>
      <c r="G90" s="109"/>
      <c r="H90" s="22">
        <v>374</v>
      </c>
      <c r="I90" s="22">
        <v>701</v>
      </c>
      <c r="J90" s="22">
        <v>294</v>
      </c>
    </row>
    <row r="91" spans="1:10" x14ac:dyDescent="0.2">
      <c r="A91" s="109" t="s">
        <v>259</v>
      </c>
      <c r="B91" s="109"/>
      <c r="C91" s="109"/>
      <c r="D91" s="109"/>
      <c r="E91" s="109"/>
      <c r="F91" s="109"/>
      <c r="G91" s="109"/>
      <c r="H91" s="22">
        <v>-5</v>
      </c>
      <c r="I91" s="22">
        <v>7</v>
      </c>
      <c r="J91" s="22">
        <v>-7</v>
      </c>
    </row>
    <row r="92" spans="1:10" x14ac:dyDescent="0.2">
      <c r="A92" s="147" t="s">
        <v>260</v>
      </c>
      <c r="B92" s="109"/>
      <c r="C92" s="109"/>
      <c r="D92" s="109"/>
      <c r="E92" s="109"/>
      <c r="F92" s="109"/>
      <c r="G92" s="109"/>
      <c r="H92" s="22"/>
      <c r="I92" s="22"/>
      <c r="J92" s="22"/>
    </row>
    <row r="93" spans="1:10" x14ac:dyDescent="0.2">
      <c r="A93" s="109" t="s">
        <v>93</v>
      </c>
      <c r="B93" s="109"/>
      <c r="C93" s="109"/>
      <c r="D93" s="109"/>
      <c r="E93" s="109"/>
      <c r="F93" s="109"/>
      <c r="G93" s="109"/>
      <c r="H93" s="22">
        <v>26121</v>
      </c>
      <c r="I93" s="22">
        <v>374</v>
      </c>
      <c r="J93" s="22">
        <v>701</v>
      </c>
    </row>
    <row r="94" spans="1:10" x14ac:dyDescent="0.2">
      <c r="A94" s="109" t="s">
        <v>197</v>
      </c>
      <c r="B94" s="109"/>
      <c r="C94" s="109"/>
      <c r="D94" s="109"/>
      <c r="E94" s="109"/>
      <c r="F94" s="109"/>
      <c r="G94" s="109"/>
      <c r="H94" s="43">
        <f>H68+H78+H89</f>
        <v>25752</v>
      </c>
      <c r="I94" s="11">
        <f>I68+I78+I89</f>
        <v>-334</v>
      </c>
      <c r="J94" s="11">
        <f>J68+J78+J89</f>
        <v>414</v>
      </c>
    </row>
    <row r="97" spans="1:10" x14ac:dyDescent="0.2">
      <c r="A97" s="155" t="s">
        <v>261</v>
      </c>
      <c r="B97" s="155"/>
      <c r="C97" s="155"/>
      <c r="D97" s="155"/>
      <c r="E97" s="155"/>
      <c r="F97" s="155"/>
      <c r="G97" s="155"/>
      <c r="H97" s="27">
        <v>2021</v>
      </c>
      <c r="I97" s="27">
        <v>2020</v>
      </c>
      <c r="J97" s="27">
        <v>2019</v>
      </c>
    </row>
    <row r="98" spans="1:10" x14ac:dyDescent="0.2">
      <c r="A98" s="129" t="s">
        <v>95</v>
      </c>
      <c r="B98" s="129"/>
      <c r="C98" s="129"/>
      <c r="D98" s="129"/>
      <c r="E98" s="129"/>
      <c r="F98" s="129"/>
      <c r="G98" s="129"/>
      <c r="H98" s="35">
        <v>155561</v>
      </c>
      <c r="I98" s="35">
        <v>172039</v>
      </c>
      <c r="J98" s="35">
        <v>151251</v>
      </c>
    </row>
    <row r="99" spans="1:10" x14ac:dyDescent="0.2">
      <c r="A99" s="109" t="s">
        <v>96</v>
      </c>
      <c r="B99" s="109"/>
      <c r="C99" s="109"/>
      <c r="D99" s="109"/>
      <c r="E99" s="109"/>
      <c r="F99" s="109"/>
      <c r="G99" s="109"/>
      <c r="H99" s="22"/>
      <c r="I99" s="22"/>
      <c r="J99" s="22"/>
    </row>
    <row r="100" spans="1:10" x14ac:dyDescent="0.2">
      <c r="A100" s="109" t="s">
        <v>97</v>
      </c>
      <c r="B100" s="109"/>
      <c r="C100" s="109"/>
      <c r="D100" s="109"/>
      <c r="E100" s="109"/>
      <c r="F100" s="109"/>
      <c r="G100" s="109"/>
      <c r="H100" s="22">
        <v>121620</v>
      </c>
      <c r="I100" s="22">
        <v>136468</v>
      </c>
      <c r="J100" s="22">
        <v>120110</v>
      </c>
    </row>
    <row r="101" spans="1:10" x14ac:dyDescent="0.2">
      <c r="A101" s="109" t="s">
        <v>98</v>
      </c>
      <c r="B101" s="109"/>
      <c r="C101" s="109"/>
      <c r="D101" s="109"/>
      <c r="E101" s="109"/>
      <c r="F101" s="109"/>
      <c r="G101" s="109"/>
      <c r="H101" s="22">
        <v>33941</v>
      </c>
      <c r="I101" s="22">
        <v>35571</v>
      </c>
      <c r="J101" s="22">
        <v>31141</v>
      </c>
    </row>
    <row r="102" spans="1:10" x14ac:dyDescent="0.2">
      <c r="A102" s="129" t="s">
        <v>99</v>
      </c>
      <c r="B102" s="129"/>
      <c r="C102" s="129"/>
      <c r="D102" s="129"/>
      <c r="E102" s="129"/>
      <c r="F102" s="129"/>
      <c r="G102" s="129"/>
      <c r="H102" s="35">
        <v>128560</v>
      </c>
      <c r="I102" s="35">
        <v>138246</v>
      </c>
      <c r="J102" s="35">
        <v>118314</v>
      </c>
    </row>
    <row r="103" spans="1:10" x14ac:dyDescent="0.2">
      <c r="A103" s="129" t="s">
        <v>100</v>
      </c>
      <c r="B103" s="129"/>
      <c r="C103" s="129"/>
      <c r="D103" s="129"/>
      <c r="E103" s="129"/>
      <c r="F103" s="129"/>
      <c r="G103" s="129"/>
      <c r="H103" s="35"/>
      <c r="I103" s="35"/>
      <c r="J103" s="35"/>
    </row>
    <row r="104" spans="1:10" x14ac:dyDescent="0.2">
      <c r="A104" s="109" t="s">
        <v>101</v>
      </c>
      <c r="B104" s="109"/>
      <c r="C104" s="109"/>
      <c r="D104" s="109"/>
      <c r="E104" s="109"/>
      <c r="F104" s="109"/>
      <c r="G104" s="109"/>
      <c r="H104" s="22">
        <v>97794</v>
      </c>
      <c r="I104" s="22">
        <v>105979</v>
      </c>
      <c r="J104" s="22">
        <v>90576</v>
      </c>
    </row>
    <row r="105" spans="1:10" x14ac:dyDescent="0.2">
      <c r="A105" s="109" t="s">
        <v>102</v>
      </c>
      <c r="B105" s="109"/>
      <c r="C105" s="109"/>
      <c r="D105" s="109"/>
      <c r="E105" s="109"/>
      <c r="F105" s="109"/>
      <c r="G105" s="109"/>
      <c r="H105" s="22">
        <v>30766</v>
      </c>
      <c r="I105" s="22">
        <v>32267</v>
      </c>
      <c r="J105" s="22">
        <v>27738</v>
      </c>
    </row>
    <row r="106" spans="1:10" x14ac:dyDescent="0.2">
      <c r="A106" s="129" t="s">
        <v>103</v>
      </c>
      <c r="B106" s="129"/>
      <c r="C106" s="129"/>
      <c r="D106" s="129"/>
      <c r="E106" s="129"/>
      <c r="F106" s="129"/>
      <c r="G106" s="129"/>
      <c r="H106" s="35">
        <v>27001</v>
      </c>
      <c r="I106" s="35">
        <v>33793</v>
      </c>
      <c r="J106" s="35">
        <v>32937</v>
      </c>
    </row>
    <row r="107" spans="1:10" x14ac:dyDescent="0.2">
      <c r="A107" s="109" t="s">
        <v>104</v>
      </c>
      <c r="B107" s="109"/>
      <c r="C107" s="109"/>
      <c r="D107" s="109"/>
      <c r="E107" s="109"/>
      <c r="F107" s="109"/>
      <c r="G107" s="109"/>
      <c r="H107" s="22">
        <v>19447</v>
      </c>
      <c r="I107" s="22">
        <v>20496</v>
      </c>
      <c r="J107" s="22">
        <v>20157</v>
      </c>
    </row>
    <row r="108" spans="1:10" x14ac:dyDescent="0.2">
      <c r="A108" s="109" t="s">
        <v>105</v>
      </c>
      <c r="B108" s="109"/>
      <c r="C108" s="109"/>
      <c r="D108" s="109"/>
      <c r="E108" s="109"/>
      <c r="F108" s="109"/>
      <c r="G108" s="109"/>
      <c r="H108" s="22">
        <v>5016</v>
      </c>
      <c r="I108" s="22">
        <v>4990</v>
      </c>
      <c r="J108" s="22">
        <v>5137</v>
      </c>
    </row>
    <row r="109" spans="1:10" x14ac:dyDescent="0.2">
      <c r="A109" s="109" t="s">
        <v>106</v>
      </c>
      <c r="B109" s="109"/>
      <c r="C109" s="109"/>
      <c r="D109" s="109"/>
      <c r="E109" s="109"/>
      <c r="F109" s="109"/>
      <c r="G109" s="109"/>
      <c r="H109" s="22">
        <v>785</v>
      </c>
      <c r="I109" s="22">
        <v>877</v>
      </c>
      <c r="J109" s="22">
        <v>741</v>
      </c>
    </row>
    <row r="110" spans="1:10" x14ac:dyDescent="0.2">
      <c r="A110" s="109" t="s">
        <v>107</v>
      </c>
      <c r="B110" s="109"/>
      <c r="C110" s="109"/>
      <c r="D110" s="109"/>
      <c r="E110" s="109"/>
      <c r="F110" s="109"/>
      <c r="G110" s="109"/>
      <c r="H110" s="22">
        <v>4246</v>
      </c>
      <c r="I110" s="22">
        <v>2466</v>
      </c>
      <c r="J110" s="22">
        <v>1162</v>
      </c>
    </row>
    <row r="111" spans="1:10" x14ac:dyDescent="0.2">
      <c r="A111" s="129" t="s">
        <v>108</v>
      </c>
      <c r="B111" s="129"/>
      <c r="C111" s="129"/>
      <c r="D111" s="129"/>
      <c r="E111" s="129"/>
      <c r="F111" s="129"/>
      <c r="G111" s="129"/>
      <c r="H111" s="35">
        <v>5999</v>
      </c>
      <c r="I111" s="35">
        <v>9896</v>
      </c>
      <c r="J111" s="35">
        <v>8064</v>
      </c>
    </row>
    <row r="112" spans="1:10" x14ac:dyDescent="0.2">
      <c r="A112" s="120" t="s">
        <v>109</v>
      </c>
      <c r="B112" s="120"/>
      <c r="C112" s="120"/>
      <c r="D112" s="120"/>
      <c r="E112" s="120"/>
      <c r="F112" s="120"/>
      <c r="G112" s="120"/>
      <c r="H112" s="22">
        <v>885</v>
      </c>
      <c r="I112" s="22">
        <v>158</v>
      </c>
      <c r="J112" s="22">
        <v>110</v>
      </c>
    </row>
    <row r="113" spans="1:10" x14ac:dyDescent="0.2">
      <c r="A113" s="120" t="s">
        <v>110</v>
      </c>
      <c r="B113" s="120"/>
      <c r="C113" s="120"/>
      <c r="D113" s="120"/>
      <c r="E113" s="120"/>
      <c r="F113" s="120"/>
      <c r="G113" s="120"/>
      <c r="H113" s="22">
        <v>846</v>
      </c>
      <c r="I113" s="22">
        <v>1488</v>
      </c>
      <c r="J113" s="22">
        <v>1140</v>
      </c>
    </row>
    <row r="114" spans="1:10" x14ac:dyDescent="0.2">
      <c r="A114" s="129" t="s">
        <v>111</v>
      </c>
      <c r="B114" s="129"/>
      <c r="C114" s="129"/>
      <c r="D114" s="129"/>
      <c r="E114" s="129"/>
      <c r="F114" s="129"/>
      <c r="G114" s="129"/>
      <c r="H114" s="35">
        <v>6038</v>
      </c>
      <c r="I114" s="35">
        <v>8566</v>
      </c>
      <c r="J114" s="35">
        <v>7034</v>
      </c>
    </row>
    <row r="115" spans="1:10" x14ac:dyDescent="0.2">
      <c r="A115" s="109" t="s">
        <v>112</v>
      </c>
      <c r="B115" s="109"/>
      <c r="C115" s="109"/>
      <c r="D115" s="109"/>
      <c r="E115" s="109"/>
      <c r="F115" s="109"/>
      <c r="G115" s="109"/>
      <c r="H115" s="22">
        <v>1004</v>
      </c>
      <c r="I115" s="22">
        <v>1814</v>
      </c>
      <c r="J115" s="22">
        <v>1448</v>
      </c>
    </row>
    <row r="116" spans="1:10" x14ac:dyDescent="0.2">
      <c r="A116" s="148" t="s">
        <v>113</v>
      </c>
      <c r="B116" s="148"/>
      <c r="C116" s="148"/>
      <c r="D116" s="148"/>
      <c r="E116" s="148"/>
      <c r="F116" s="148"/>
      <c r="G116" s="148"/>
      <c r="H116" s="35">
        <v>5034</v>
      </c>
      <c r="I116" s="35">
        <v>6752</v>
      </c>
      <c r="J116" s="35">
        <v>5586</v>
      </c>
    </row>
    <row r="117" spans="1:10" x14ac:dyDescent="0.2">
      <c r="A117" s="149" t="s">
        <v>114</v>
      </c>
      <c r="B117" s="149"/>
      <c r="C117" s="149"/>
      <c r="D117" s="149"/>
      <c r="E117" s="149"/>
      <c r="F117" s="149"/>
      <c r="G117" s="149"/>
      <c r="H117" s="35"/>
      <c r="I117" s="35"/>
      <c r="J117" s="35"/>
    </row>
    <row r="118" spans="1:10" x14ac:dyDescent="0.2">
      <c r="A118" s="109" t="s">
        <v>115</v>
      </c>
      <c r="B118" s="109"/>
      <c r="C118" s="109"/>
      <c r="D118" s="109"/>
      <c r="E118" s="109"/>
      <c r="F118" s="109"/>
      <c r="G118" s="109"/>
      <c r="H118" s="22">
        <v>5034</v>
      </c>
      <c r="I118" s="22">
        <v>6752</v>
      </c>
      <c r="J118" s="22">
        <v>5586</v>
      </c>
    </row>
    <row r="119" spans="1:10" x14ac:dyDescent="0.2">
      <c r="A119" s="109" t="s">
        <v>116</v>
      </c>
      <c r="B119" s="109"/>
      <c r="C119" s="109"/>
      <c r="D119" s="109"/>
      <c r="E119" s="109"/>
      <c r="F119" s="109"/>
      <c r="G119" s="109"/>
      <c r="H119" s="22">
        <v>0</v>
      </c>
      <c r="I119" s="22">
        <v>0</v>
      </c>
      <c r="J119" s="22">
        <v>0</v>
      </c>
    </row>
    <row r="120" spans="1:10" x14ac:dyDescent="0.2">
      <c r="A120" s="109" t="s">
        <v>117</v>
      </c>
      <c r="B120" s="109"/>
      <c r="C120" s="109"/>
      <c r="D120" s="109"/>
      <c r="E120" s="109"/>
      <c r="F120" s="109"/>
      <c r="G120" s="109"/>
      <c r="H120" s="52" t="s">
        <v>262</v>
      </c>
      <c r="I120" s="52" t="s">
        <v>263</v>
      </c>
      <c r="J120" s="52" t="s">
        <v>264</v>
      </c>
    </row>
    <row r="121" spans="1:10" x14ac:dyDescent="0.2">
      <c r="A121" s="109" t="s">
        <v>118</v>
      </c>
      <c r="B121" s="109"/>
      <c r="C121" s="109"/>
      <c r="D121" s="109"/>
      <c r="E121" s="109"/>
      <c r="F121" s="109"/>
      <c r="G121" s="109"/>
      <c r="H121" s="52" t="s">
        <v>262</v>
      </c>
      <c r="I121" s="52" t="s">
        <v>263</v>
      </c>
      <c r="J121" s="52" t="s">
        <v>264</v>
      </c>
    </row>
    <row r="122" spans="1:10" x14ac:dyDescent="0.2">
      <c r="A122" s="109" t="s">
        <v>119</v>
      </c>
      <c r="B122" s="109"/>
      <c r="C122" s="109"/>
      <c r="D122" s="109"/>
      <c r="E122" s="109"/>
      <c r="F122" s="109"/>
      <c r="G122" s="109"/>
      <c r="H122" s="22">
        <v>0</v>
      </c>
      <c r="I122" s="22">
        <v>0</v>
      </c>
      <c r="J122" s="22">
        <v>0</v>
      </c>
    </row>
    <row r="123" spans="1:10" x14ac:dyDescent="0.2">
      <c r="A123" s="129" t="s">
        <v>120</v>
      </c>
      <c r="B123" s="129"/>
      <c r="C123" s="129"/>
      <c r="D123" s="129"/>
      <c r="E123" s="129"/>
      <c r="F123" s="129"/>
      <c r="G123" s="129"/>
      <c r="H123" s="35">
        <v>5034</v>
      </c>
      <c r="I123" s="35">
        <v>6752</v>
      </c>
      <c r="J123" s="35">
        <v>5586</v>
      </c>
    </row>
    <row r="124" spans="1:10" x14ac:dyDescent="0.2">
      <c r="A124" s="109" t="s">
        <v>115</v>
      </c>
      <c r="B124" s="109"/>
      <c r="C124" s="109"/>
      <c r="D124" s="109"/>
      <c r="E124" s="109"/>
      <c r="F124" s="109"/>
      <c r="G124" s="109"/>
      <c r="H124" s="22">
        <v>5034</v>
      </c>
      <c r="I124" s="22">
        <v>6752</v>
      </c>
      <c r="J124" s="22">
        <v>5586</v>
      </c>
    </row>
    <row r="125" spans="1:10" x14ac:dyDescent="0.2">
      <c r="A125" s="109" t="s">
        <v>116</v>
      </c>
      <c r="B125" s="109"/>
      <c r="C125" s="109"/>
      <c r="D125" s="109"/>
      <c r="E125" s="109"/>
      <c r="F125" s="109"/>
      <c r="G125" s="109"/>
      <c r="H125" s="22">
        <v>0</v>
      </c>
      <c r="I125" s="22">
        <v>0</v>
      </c>
      <c r="J125" s="22">
        <v>0</v>
      </c>
    </row>
  </sheetData>
  <mergeCells count="140">
    <mergeCell ref="A94:G94"/>
    <mergeCell ref="A97:G97"/>
    <mergeCell ref="A98:G98"/>
    <mergeCell ref="A99:G99"/>
    <mergeCell ref="A100:G100"/>
    <mergeCell ref="A101:G101"/>
    <mergeCell ref="A88:G88"/>
    <mergeCell ref="A89:G89"/>
    <mergeCell ref="AC4:AJ15"/>
    <mergeCell ref="U15:AA16"/>
    <mergeCell ref="O15:P15"/>
    <mergeCell ref="O17:P17"/>
    <mergeCell ref="O9:P9"/>
    <mergeCell ref="O11:P11"/>
    <mergeCell ref="O13:P13"/>
    <mergeCell ref="U17:AA18"/>
    <mergeCell ref="U7:AA8"/>
    <mergeCell ref="U13:AA14"/>
    <mergeCell ref="U4:AA6"/>
    <mergeCell ref="A90:G90"/>
    <mergeCell ref="A91:G91"/>
    <mergeCell ref="A92:G92"/>
    <mergeCell ref="A93:G93"/>
    <mergeCell ref="A82:G82"/>
    <mergeCell ref="A108:G108"/>
    <mergeCell ref="A109:G109"/>
    <mergeCell ref="A110:G110"/>
    <mergeCell ref="A111:G111"/>
    <mergeCell ref="A112:G112"/>
    <mergeCell ref="A113:G113"/>
    <mergeCell ref="A102:G102"/>
    <mergeCell ref="A103:G103"/>
    <mergeCell ref="A104:G104"/>
    <mergeCell ref="A105:G105"/>
    <mergeCell ref="A106:G106"/>
    <mergeCell ref="A107:G107"/>
    <mergeCell ref="A123:G123"/>
    <mergeCell ref="A124:G124"/>
    <mergeCell ref="A125:G125"/>
    <mergeCell ref="A114:G114"/>
    <mergeCell ref="A115:G115"/>
    <mergeCell ref="A116:G116"/>
    <mergeCell ref="A117:G117"/>
    <mergeCell ref="A118:G118"/>
    <mergeCell ref="A119:G119"/>
    <mergeCell ref="A120:G120"/>
    <mergeCell ref="A121:G121"/>
    <mergeCell ref="A122:G122"/>
    <mergeCell ref="A83:G83"/>
    <mergeCell ref="A84:G84"/>
    <mergeCell ref="A85:G85"/>
    <mergeCell ref="A86:G86"/>
    <mergeCell ref="A87:G87"/>
    <mergeCell ref="A76:G76"/>
    <mergeCell ref="A77:G77"/>
    <mergeCell ref="A78:G78"/>
    <mergeCell ref="A79:G79"/>
    <mergeCell ref="A80:G80"/>
    <mergeCell ref="A81:G81"/>
    <mergeCell ref="A70:G70"/>
    <mergeCell ref="A71:G71"/>
    <mergeCell ref="A72:G72"/>
    <mergeCell ref="A73:G73"/>
    <mergeCell ref="A74:G74"/>
    <mergeCell ref="A75:G75"/>
    <mergeCell ref="A64:G64"/>
    <mergeCell ref="A65:G65"/>
    <mergeCell ref="A66:G66"/>
    <mergeCell ref="A67:G67"/>
    <mergeCell ref="A68:G68"/>
    <mergeCell ref="A69:G69"/>
    <mergeCell ref="A58:G58"/>
    <mergeCell ref="A59:G59"/>
    <mergeCell ref="A60:G60"/>
    <mergeCell ref="A61:G61"/>
    <mergeCell ref="A62:G62"/>
    <mergeCell ref="A63:G63"/>
    <mergeCell ref="A52:G52"/>
    <mergeCell ref="A53:G53"/>
    <mergeCell ref="A54:G54"/>
    <mergeCell ref="A55:G55"/>
    <mergeCell ref="A56:G56"/>
    <mergeCell ref="A57:G57"/>
    <mergeCell ref="A45:G45"/>
    <mergeCell ref="A46:G46"/>
    <mergeCell ref="A47:G47"/>
    <mergeCell ref="A48:G48"/>
    <mergeCell ref="A49:G49"/>
    <mergeCell ref="A51:G51"/>
    <mergeCell ref="A39:G39"/>
    <mergeCell ref="A40:G40"/>
    <mergeCell ref="A41:G41"/>
    <mergeCell ref="A42:G42"/>
    <mergeCell ref="A43:G43"/>
    <mergeCell ref="A44:G44"/>
    <mergeCell ref="A33:G33"/>
    <mergeCell ref="A34:G34"/>
    <mergeCell ref="A35:G35"/>
    <mergeCell ref="A36:G36"/>
    <mergeCell ref="A37:G37"/>
    <mergeCell ref="A38:G38"/>
    <mergeCell ref="A27:G27"/>
    <mergeCell ref="A28:G28"/>
    <mergeCell ref="A29:G29"/>
    <mergeCell ref="A30:G30"/>
    <mergeCell ref="A31:G31"/>
    <mergeCell ref="A32:G32"/>
    <mergeCell ref="A25:G25"/>
    <mergeCell ref="A26:G26"/>
    <mergeCell ref="U21:AA22"/>
    <mergeCell ref="A21:G21"/>
    <mergeCell ref="A22:G22"/>
    <mergeCell ref="A23:G23"/>
    <mergeCell ref="A24:G24"/>
    <mergeCell ref="O21:P21"/>
    <mergeCell ref="A3:G3"/>
    <mergeCell ref="A4:G4"/>
    <mergeCell ref="A5:G5"/>
    <mergeCell ref="A6:G6"/>
    <mergeCell ref="A7:G7"/>
    <mergeCell ref="A8:G8"/>
    <mergeCell ref="A15:G15"/>
    <mergeCell ref="A16:G16"/>
    <mergeCell ref="A17:G17"/>
    <mergeCell ref="A18:G18"/>
    <mergeCell ref="A19:G19"/>
    <mergeCell ref="A20:G20"/>
    <mergeCell ref="A9:G9"/>
    <mergeCell ref="A10:G10"/>
    <mergeCell ref="A11:G11"/>
    <mergeCell ref="A12:G12"/>
    <mergeCell ref="A13:G13"/>
    <mergeCell ref="U19:AA20"/>
    <mergeCell ref="U9:AA10"/>
    <mergeCell ref="U11:AA12"/>
    <mergeCell ref="A14:G14"/>
    <mergeCell ref="N5:N9"/>
    <mergeCell ref="O5:P5"/>
    <mergeCell ref="O7:P7"/>
    <mergeCell ref="O19:P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11</vt:i4>
      </vt:variant>
    </vt:vector>
  </HeadingPairs>
  <TitlesOfParts>
    <vt:vector size="11" baseType="lpstr">
      <vt:lpstr>Strona tytułowa</vt:lpstr>
      <vt:lpstr>Dane</vt:lpstr>
      <vt:lpstr>Aktywa</vt:lpstr>
      <vt:lpstr>Pasywa</vt:lpstr>
      <vt:lpstr>Kapitałowo-majątkowa</vt:lpstr>
      <vt:lpstr>A. W. rachunku zysków i strat</vt:lpstr>
      <vt:lpstr>A. W. przepływów pieniężnych</vt:lpstr>
      <vt:lpstr>Wskaźniki płynności</vt:lpstr>
      <vt:lpstr>Analiza zadłużenia</vt:lpstr>
      <vt:lpstr>Analiza sprawności działania</vt:lpstr>
      <vt:lpstr>Analiza rentowności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dc:creator>
  <cp:keywords/>
  <dc:description/>
  <cp:lastModifiedBy>Natalia Faltyn</cp:lastModifiedBy>
  <cp:revision/>
  <dcterms:created xsi:type="dcterms:W3CDTF">2022-12-20T08:59:04Z</dcterms:created>
  <dcterms:modified xsi:type="dcterms:W3CDTF">2026-02-17T11:31:17Z</dcterms:modified>
  <cp:category/>
  <cp:contentStatus/>
</cp:coreProperties>
</file>